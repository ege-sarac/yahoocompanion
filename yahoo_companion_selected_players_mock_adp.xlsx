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190cf4a4a845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ADP Table" sheetId="1" r:id="Rd0372bfeafa740ea"/>
    <x:sheet xmlns:r="http://schemas.openxmlformats.org/officeDocument/2006/relationships" name="Numeric Picks" sheetId="2" r:id="R1652332b3e484875"/>
    <x:sheet xmlns:r="http://schemas.openxmlformats.org/officeDocument/2006/relationships" name="Mock Notes" sheetId="3" r:id="R03ed65b0f0fd4583"/>
    <x:sheet xmlns:r="http://schemas.openxmlformats.org/officeDocument/2006/relationships" name="Projection Watchlist" sheetId="4" r:id="Reb9eceba8e3a42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7">
    <x:font>
      <x:sz val="11"/>
      <x:name val="Carlito"/>
    </x:font>
    <x:font>
      <x:b/>
      <x:sz val="15"/>
      <x:color rgb="FFFFFFFF"/>
      <x:name val="Carlito"/>
    </x:font>
    <x:font>
      <x:sz val="10"/>
      <x:color rgb="FF24443A"/>
      <x:name val="Carlito"/>
    </x:font>
    <x:font>
      <x:b/>
      <x:sz val="11"/>
      <x:color rgb="FFFFFFFF"/>
      <x:name val="Carlito"/>
    </x:font>
    <x:font>
      <x:b/>
      <x:sz val="11"/>
      <x:color rgb="FF14251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02A22"/>
      </x:patternFill>
    </x:fill>
    <x:fill>
      <x:patternFill patternType="solid">
        <x:fgColor rgb="FFEAF3EE"/>
      </x:patternFill>
    </x:fill>
    <x:fill>
      <x:patternFill patternType="solid">
        <x:fgColor rgb="FF176B4C"/>
      </x:patternFill>
    </x:fill>
    <x:fill>
      <x:patternFill patternType="solid">
        <x:fgColor rgb="FF355A4B"/>
      </x:patternFill>
    </x:fill>
    <x:fill>
      <x:patternFill patternType="solid">
        <x:fgColor rgb="FFF2F8F5"/>
      </x:patternFill>
    </x:fill>
    <x:fill>
      <x:patternFill patternType="solid">
        <x:fgColor rgb="FFFFF9E8"/>
      </x:patternFill>
    </x:fill>
    <x:fill>
      <x:patternFill patternType="solid">
        <x:fgColor rgb="FFEEF4FF"/>
      </x:patternFill>
    </x:fill>
  </x:fills>
  <x:borders count="2">
    <x:border/>
    <x:border/>
  </x:borders>
  <x:cellStyleXfs count="1">
    <x:xf numFmtId="0" fontId="0" fillId="0" borderId="0"/>
  </x:cellStyleXfs>
  <x:cellXfs count="1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1" xfId="0" applyNumberFormat="1" applyFont="1" applyFill="1" applyBorder="1"/>
    <x:xf numFmtId="201" fontId="0" fillId="6" borderId="1" xfId="0" applyNumberFormat="1" applyFont="1" applyFill="1" applyBorder="1"/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201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7" borderId="1" xfId="0" applyNumberFormat="1" applyFont="1" applyFill="1" applyBorder="1"/>
    <x:xf numFmtId="201" fontId="0" fillId="7" borderId="1" xfId="0" applyNumberFormat="1" applyFont="1" applyFill="1" applyBorder="1"/>
    <x:xf numFmtId="0" fontId="0" fillId="8" borderId="0" xfId="0" applyNumberFormat="1" applyFont="1" applyFill="1" applyBorder="1"/>
    <x:xf numFmtId="200" fontId="0" fillId="8" borderId="0" xfId="0" applyNumberFormat="1" applyFont="1" applyFill="1" applyBorder="1"/>
    <x:xf numFmtId="201" fontId="0" fillId="8" borderId="0" xfId="0" applyNumberFormat="1" applyFont="1" applyFill="1" applyBorder="1"/>
    <x:xf numFmtId="0" fontId="0" fillId="8" borderId="1" xfId="0" applyNumberFormat="1" applyFont="1" applyFill="1" applyBorder="1"/>
    <x:xf numFmtId="200" fontId="0" fillId="8" borderId="1" xfId="0" applyNumberFormat="1" applyFont="1" applyFill="1" applyBorder="1"/>
    <x:xf numFmtId="201" fontId="0" fillId="8" borderId="1" xfId="0" applyNumberFormat="1" applyFont="1" applyFill="1" applyBorder="1"/>
    <x:xf numFmtId="0" fontId="4" fillId="6" borderId="0" xfId="0" applyNumberFormat="1" applyFont="1" applyFill="1" applyBorder="1"/>
    <x:xf numFmtId="0" fontId="4" fillId="7" borderId="0" xfId="0" applyNumberFormat="1" applyFont="1" applyFill="1" applyBorder="1"/>
    <x:xf numFmtId="0" fontId="4" fillId="8" borderId="0" xfId="0" applyNumberFormat="1" applyFont="1" applyFill="1" applyBorder="1"/>
    <x:xf numFmtId="0" fontId="4" fillId="6" borderId="1" xfId="0" applyNumberFormat="1" applyFont="1" applyFill="1" applyBorder="1"/>
    <x:xf numFmtId="0" fontId="4" fillId="7" borderId="1" xfId="0" applyNumberFormat="1" applyFont="1" applyFill="1" applyBorder="1"/>
    <x:xf numFmtId="0" fontId="4" fillId="8" borderId="1" xfId="0" applyNumberFormat="1" applyFont="1" applyFill="1" applyBorder="1"/>
    <x:xf numFmtId="200" fontId="5" fillId="6" borderId="0" xfId="0" applyNumberFormat="1" applyFont="1" applyFill="1" applyBorder="1"/>
    <x:xf numFmtId="201" fontId="5" fillId="6" borderId="0" xfId="0" applyNumberFormat="1" applyFont="1" applyFill="1" applyBorder="1"/>
    <x:xf numFmtId="200" fontId="5" fillId="7" borderId="0" xfId="0" applyNumberFormat="1" applyFont="1" applyFill="1" applyBorder="1"/>
    <x:xf numFmtId="201" fontId="5" fillId="7" borderId="0" xfId="0" applyNumberFormat="1" applyFont="1" applyFill="1" applyBorder="1"/>
    <x:xf numFmtId="200" fontId="5" fillId="8" borderId="0" xfId="0" applyNumberFormat="1" applyFont="1" applyFill="1" applyBorder="1"/>
    <x:xf numFmtId="201" fontId="5" fillId="8" borderId="0" xfId="0" applyNumberFormat="1" applyFont="1" applyFill="1" applyBorder="1"/>
    <x:xf numFmtId="200" fontId="5" fillId="6" borderId="1" xfId="0" applyNumberFormat="1" applyFont="1" applyFill="1" applyBorder="1"/>
    <x:xf numFmtId="201" fontId="5" fillId="6" borderId="1" xfId="0" applyNumberFormat="1" applyFont="1" applyFill="1" applyBorder="1"/>
    <x:xf numFmtId="200" fontId="5" fillId="7" borderId="1" xfId="0" applyNumberFormat="1" applyFont="1" applyFill="1" applyBorder="1"/>
    <x:xf numFmtId="201" fontId="5" fillId="7" borderId="1" xfId="0" applyNumberFormat="1" applyFont="1" applyFill="1" applyBorder="1"/>
    <x:xf numFmtId="200" fontId="5" fillId="8" borderId="1" xfId="0" applyNumberFormat="1" applyFont="1" applyFill="1" applyBorder="1"/>
    <x:xf numFmtId="201" fontId="5" fillId="8" borderId="1" xfId="0" applyNumberFormat="1" applyFont="1" applyFill="1" applyBorder="1"/>
    <x:xf numFmtId="0" fontId="0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 applyAlignment="1">
      <x:alignment horizontal="center"/>
    </x:xf>
    <x:xf numFmtId="200" fontId="5" fillId="6" borderId="0" xfId="0" applyNumberFormat="1" applyFont="1" applyFill="1" applyBorder="1" applyAlignment="1">
      <x:alignment horizontal="center"/>
    </x:xf>
    <x:xf numFmtId="201" fontId="5" fillId="6" borderId="0" xfId="0" applyNumberFormat="1" applyFont="1" applyFill="1" applyBorder="1" applyAlignment="1">
      <x:alignment horizontal="center"/>
    </x:xf>
    <x:xf numFmtId="200" fontId="5" fillId="7" borderId="0" xfId="0" applyNumberFormat="1" applyFont="1" applyFill="1" applyBorder="1" applyAlignment="1">
      <x:alignment horizontal="center"/>
    </x:xf>
    <x:xf numFmtId="201" fontId="5" fillId="7" borderId="0" xfId="0" applyNumberFormat="1" applyFont="1" applyFill="1" applyBorder="1" applyAlignment="1">
      <x:alignment horizontal="center"/>
    </x:xf>
    <x:xf numFmtId="200" fontId="5" fillId="8" borderId="0" xfId="0" applyNumberFormat="1" applyFont="1" applyFill="1" applyBorder="1" applyAlignment="1">
      <x:alignment horizontal="center"/>
    </x:xf>
    <x:xf numFmtId="201" fontId="5" fillId="8" borderId="0" xfId="0" applyNumberFormat="1" applyFont="1" applyFill="1" applyBorder="1" applyAlignment="1">
      <x:alignment horizontal="center"/>
    </x:xf>
    <x:xf numFmtId="200" fontId="5" fillId="6" borderId="1" xfId="0" applyNumberFormat="1" applyFont="1" applyFill="1" applyBorder="1" applyAlignment="1">
      <x:alignment horizontal="center"/>
    </x:xf>
    <x:xf numFmtId="201" fontId="5" fillId="6" borderId="1" xfId="0" applyNumberFormat="1" applyFont="1" applyFill="1" applyBorder="1" applyAlignment="1">
      <x:alignment horizontal="center"/>
    </x:xf>
    <x:xf numFmtId="200" fontId="5" fillId="7" borderId="1" xfId="0" applyNumberFormat="1" applyFont="1" applyFill="1" applyBorder="1" applyAlignment="1">
      <x:alignment horizontal="center"/>
    </x:xf>
    <x:xf numFmtId="201" fontId="5" fillId="7" borderId="1" xfId="0" applyNumberFormat="1" applyFont="1" applyFill="1" applyBorder="1" applyAlignment="1">
      <x:alignment horizontal="center"/>
    </x:xf>
    <x:xf numFmtId="200" fontId="5" fillId="8" borderId="1" xfId="0" applyNumberFormat="1" applyFont="1" applyFill="1" applyBorder="1" applyAlignment="1">
      <x:alignment horizontal="center"/>
    </x:xf>
    <x:xf numFmtId="201" fontId="5" fillId="8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horizontal="center" vertical="center"/>
    </x:xf>
    <x:xf numFmtId="200" fontId="5" fillId="6" borderId="0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horizontal="center" vertical="center"/>
    </x:xf>
    <x:xf numFmtId="200" fontId="5" fillId="7" borderId="0" xfId="0" applyNumberFormat="1" applyFont="1" applyFill="1" applyBorder="1" applyAlignment="1">
      <x:alignment horizontal="center" vertical="center"/>
    </x:xf>
    <x:xf numFmtId="201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horizontal="center" vertical="center"/>
    </x:xf>
    <x:xf numFmtId="200" fontId="5" fillId="8" borderId="0" xfId="0" applyNumberFormat="1" applyFont="1" applyFill="1" applyBorder="1" applyAlignment="1">
      <x:alignment horizontal="center" vertical="center"/>
    </x:xf>
    <x:xf numFmtId="201" fontId="5" fillId="8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horizontal="center" vertical="center"/>
    </x:xf>
    <x:xf numFmtId="200" fontId="5" fillId="7" borderId="1" xfId="0" applyNumberFormat="1" applyFont="1" applyFill="1" applyBorder="1" applyAlignment="1">
      <x:alignment horizontal="center" vertical="center"/>
    </x:xf>
    <x:xf numFmtId="201" fontId="5" fillId="7" borderId="1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 applyAlignment="1">
      <x:alignment horizontal="center" vertical="center"/>
    </x:xf>
    <x:xf numFmtId="200" fontId="5" fillId="8" borderId="1" xfId="0" applyNumberFormat="1" applyFont="1" applyFill="1" applyBorder="1" applyAlignment="1">
      <x:alignment horizontal="center" vertical="center"/>
    </x:xf>
    <x:xf numFmtId="201" fontId="5" fillId="8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15f7d938f54ae7" /><Relationship Type="http://schemas.openxmlformats.org/officeDocument/2006/relationships/theme" Target="/xl/theme/theme1.xml" Id="Rfcf97cc6989c4f5f" /><Relationship Type="http://schemas.openxmlformats.org/officeDocument/2006/relationships/sharedStrings" Target="/xl/sharedStrings.xml" Id="R944f7b872a6a48d1" /><Relationship Type="http://schemas.openxmlformats.org/officeDocument/2006/relationships/worksheet" Target="/xl/worksheets/sheet1.xml" Id="Rd0372bfeafa740ea" /><Relationship Type="http://schemas.openxmlformats.org/officeDocument/2006/relationships/worksheet" Target="/xl/worksheets/sheet2.xml" Id="R1652332b3e484875" /><Relationship Type="http://schemas.openxmlformats.org/officeDocument/2006/relationships/worksheet" Target="/xl/worksheets/sheet3.xml" Id="R03ed65b0f0fd4583" /><Relationship Type="http://schemas.openxmlformats.org/officeDocument/2006/relationships/worksheet" Target="/xl/worksheets/sheet4.xml" Id="Reb9eceba8e3a42d5" /></Relationships>
</file>

<file path=xl/tables/table1.xml><?xml version="1.0" encoding="utf-8"?>
<x:table xmlns:x="http://schemas.openxmlformats.org/spreadsheetml/2006/main" id="1" name="MockADPTable" displayName="MockADPTable" ref="A3:P39" headerRowCount="1" totalsRowCount="0" totalsRowShown="0">
  <x:tableColumns count="16">
    <x:tableColumn id="1" name="Category"/>
    <x:tableColumn id="2" name="Player"/>
    <x:tableColumn id="3" name="Team"/>
    <x:tableColumn id="4" name="Position"/>
    <x:tableColumn id="5" name="2026-09-09"/>
    <x:tableColumn id="6" name="2026-09-13 A"/>
    <x:tableColumn id="7" name="2026-09-13 B"/>
    <x:tableColumn id="8" name="2026-09-14 A"/>
    <x:tableColumn id="9" name="2026-09-14 B"/>
    <x:tableColumn id="10" name="2026-09-15"/>
    <x:tableColumn id="11" name="2026-09-30"/>
    <x:tableColumn id="12" name="2026-10-04 Diagnostic"/>
    <x:tableColumn id="13" name="Avg Round"/>
    <x:tableColumn id="14" name="Avg Overall Pick"/>
    <x:tableColumn id="15" name="Picked Mocks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jectionWatchlist" displayName="ProjectionWatchlist" ref="A3:E39" headerRowCount="1" totalsRowCount="0" totalsRowShown="0">
  <x:tableColumns count="5">
    <x:tableColumn id="1" name="Category"/>
    <x:tableColumn id="2" name="Player"/>
    <x:tableColumn id="3" name="Team"/>
    <x:tableColumn id="4" name="Position"/>
    <x:tableColumn id="5" name="Resolution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e04452ffe349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2b1c9aec562431f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9" hidden="0" customWidth="1"/>
    <x:col min="4" max="4" width="11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2" hidden="0" customWidth="1"/>
    <x:col min="14" max="14" width="16" hidden="0" customWidth="1"/>
    <x:col min="15" max="15" width="12" hidden="0" customWidth="1"/>
    <x:col min="16" max="16" width="31" hidden="0" customWidth="1"/>
  </x:cols>
  <x:sheetData>
    <x:row r="1" ht="28" customHeight="1">
      <x:c r="A1" s="5" t="str">
        <x:v>YahooCompanion Mock Draft Tracking — Selected Players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34" customHeight="1">
      <x:c r="A2" s="12" t="str">
        <x:v>Tuple = (round, overall pick). NaN = not picked / insufficient observation. Averages use the 7 genuine historical mocks only; the 2026-10-04 synthetic 16×15 diagnostic is shown but excluded.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</x:row>
    <x:row r="3" ht="32" customHeight="1">
      <x:c r="A3" s="20" t="str">
        <x:v>Category</x:v>
      </x:c>
      <x:c r="B3" s="20" t="str">
        <x:v>Player</x:v>
      </x:c>
      <x:c r="C3" s="20" t="str">
        <x:v>Team</x:v>
      </x:c>
      <x:c r="D3" s="20" t="str">
        <x:v>Position</x:v>
      </x:c>
      <x:c r="E3" s="20" t="str">
        <x:v>2026-09-09</x:v>
      </x:c>
      <x:c r="F3" s="20" t="str">
        <x:v>2026-09-13 A</x:v>
      </x:c>
      <x:c r="G3" s="20" t="str">
        <x:v>2026-09-13 B</x:v>
      </x:c>
      <x:c r="H3" s="20" t="str">
        <x:v>2026-09-14 A</x:v>
      </x:c>
      <x:c r="I3" s="20" t="str">
        <x:v>2026-09-14 B</x:v>
      </x:c>
      <x:c r="J3" s="20" t="str">
        <x:v>2026-09-15</x:v>
      </x:c>
      <x:c r="K3" s="20" t="str">
        <x:v>2026-09-30</x:v>
      </x:c>
      <x:c r="L3" s="20" t="str">
        <x:v>2026-10-04 Diagnostic</x:v>
      </x:c>
      <x:c r="M3" s="20" t="str">
        <x:v>Avg Round</x:v>
      </x:c>
      <x:c r="N3" s="20" t="str">
        <x:v>Avg Overall Pick</x:v>
      </x:c>
      <x:c r="O3" s="20" t="str">
        <x:v>Picked Mocks</x:v>
      </x:c>
      <x:c r="P3" s="20" t="str">
        <x:v>Notes</x:v>
      </x:c>
    </x:row>
    <x:row r="4">
      <x:c r="A4" s="90" t="str">
        <x:v>Main list</x:v>
      </x:c>
      <x:c r="B4" s="91" t="str">
        <x:v>Keegan Murray</x:v>
      </x:c>
      <x:c r="C4" s="92" t="str">
        <x:v>SAC</x:v>
      </x:c>
      <x:c r="D4" s="92" t="str">
        <x:v>F</x:v>
      </x:c>
      <x:c r="E4" s="92" t="str">
        <x:v>(10, 135)</x:v>
      </x:c>
      <x:c r="F4" s="92" t="str">
        <x:v>(10, 127)</x:v>
      </x:c>
      <x:c r="G4" s="92" t="str">
        <x:v>(9, 123)</x:v>
      </x:c>
      <x:c r="H4" s="92" t="str">
        <x:v>(9, 123)</x:v>
      </x:c>
      <x:c r="I4" s="92" t="str">
        <x:v>(9, 125)</x:v>
      </x:c>
      <x:c r="J4" s="92" t="str">
        <x:v>(9, 122)</x:v>
      </x:c>
      <x:c r="K4" s="92" t="str">
        <x:v>(9, 116)</x:v>
      </x:c>
      <x:c r="L4" s="92" t="str">
        <x:v>(8, 117)</x:v>
      </x:c>
      <x:c r="M4" s="93" t="n">
        <x:f>IFERROR(AVERAGE('Numeric Picks'!B2:H2),"NaN")</x:f>
        <x:v>9.285714285714286</x:v>
      </x:c>
      <x:c r="N4" s="93" t="n">
        <x:f>IFERROR(AVERAGE('Numeric Picks'!J2:P2),"NaN")</x:f>
        <x:v>124.42857142857143</x:v>
      </x:c>
      <x:c r="O4" s="94" t="n">
        <x:f>COUNT('Numeric Picks'!J2:P2)</x:f>
        <x:v>7</x:v>
      </x:c>
      <x:c r="P4" s="120" t="str"/>
    </x:row>
    <x:row r="5">
      <x:c r="A5" s="90" t="str">
        <x:v>Main list</x:v>
      </x:c>
      <x:c r="B5" s="91" t="str">
        <x:v>Isaiah Collier</x:v>
      </x:c>
      <x:c r="C5" s="92" t="str">
        <x:v>UTA</x:v>
      </x:c>
      <x:c r="D5" s="92" t="str">
        <x:v>G</x:v>
      </x:c>
      <x:c r="E5" s="92" t="str">
        <x:v>(9, 123)</x:v>
      </x:c>
      <x:c r="F5" s="92" t="str">
        <x:v>(13, 175)</x:v>
      </x:c>
      <x:c r="G5" s="92" t="str">
        <x:v>(13, 173)</x:v>
      </x:c>
      <x:c r="H5" s="92" t="str">
        <x:v>(13, 173)</x:v>
      </x:c>
      <x:c r="I5" s="92" t="str">
        <x:v>(13, 177)</x:v>
      </x:c>
      <x:c r="J5" s="92" t="str">
        <x:v>(12, 167)</x:v>
      </x:c>
      <x:c r="K5" s="92" t="str">
        <x:v>NaN</x:v>
      </x:c>
      <x:c r="L5" s="92" t="str">
        <x:v>NaN</x:v>
      </x:c>
      <x:c r="M5" s="93" t="n">
        <x:f>IFERROR(AVERAGE('Numeric Picks'!B3:H3),"NaN")</x:f>
        <x:v>12.166666666666666</x:v>
      </x:c>
      <x:c r="N5" s="93" t="n">
        <x:f>IFERROR(AVERAGE('Numeric Picks'!J3:P3),"NaN")</x:f>
        <x:v>164.66666666666666</x:v>
      </x:c>
      <x:c r="O5" s="94" t="n">
        <x:f>COUNT('Numeric Picks'!J3:P3)</x:f>
        <x:v>6</x:v>
      </x:c>
      <x:c r="P5" s="120" t="str"/>
    </x:row>
    <x:row r="6">
      <x:c r="A6" s="90" t="str">
        <x:v>Main list</x:v>
      </x:c>
      <x:c r="B6" s="91" t="str">
        <x:v>Ace Bailey</x:v>
      </x:c>
      <x:c r="C6" s="92" t="str">
        <x:v>UTA</x:v>
      </x:c>
      <x:c r="D6" s="92" t="str">
        <x:v>F</x:v>
      </x:c>
      <x:c r="E6" s="92" t="str">
        <x:v>(11, 152)</x:v>
      </x:c>
      <x:c r="F6" s="92" t="str">
        <x:v>(12, 167)</x:v>
      </x:c>
      <x:c r="G6" s="92" t="str">
        <x:v>(12, 157)</x:v>
      </x:c>
      <x:c r="H6" s="92" t="str">
        <x:v>(12, 157)</x:v>
      </x:c>
      <x:c r="I6" s="92" t="str">
        <x:v>(12, 167)</x:v>
      </x:c>
      <x:c r="J6" s="92" t="str">
        <x:v>(12, 159)</x:v>
      </x:c>
      <x:c r="K6" s="92" t="str">
        <x:v>(11, 152)</x:v>
      </x:c>
      <x:c r="L6" s="92" t="str">
        <x:v>(9, 138)</x:v>
      </x:c>
      <x:c r="M6" s="93" t="n">
        <x:f>IFERROR(AVERAGE('Numeric Picks'!B4:H4),"NaN")</x:f>
        <x:v>11.714285714285714</x:v>
      </x:c>
      <x:c r="N6" s="93" t="n">
        <x:f>IFERROR(AVERAGE('Numeric Picks'!J4:P4),"NaN")</x:f>
        <x:v>158.71428571428572</x:v>
      </x:c>
      <x:c r="O6" s="94" t="n">
        <x:f>COUNT('Numeric Picks'!J4:P4)</x:f>
        <x:v>7</x:v>
      </x:c>
      <x:c r="P6" s="120" t="str"/>
    </x:row>
    <x:row r="7">
      <x:c r="A7" s="90" t="str">
        <x:v>Main list</x:v>
      </x:c>
      <x:c r="B7" s="91" t="str">
        <x:v>Collin Murray-Boyles</x:v>
      </x:c>
      <x:c r="C7" s="92" t="str">
        <x:v>TOR</x:v>
      </x:c>
      <x:c r="D7" s="92" t="str">
        <x:v>F</x:v>
      </x:c>
      <x:c r="E7" s="92" t="str">
        <x:v>(9, 121)</x:v>
      </x:c>
      <x:c r="F7" s="92" t="str">
        <x:v>(10, 137)</x:v>
      </x:c>
      <x:c r="G7" s="92" t="str">
        <x:v>(10, 130)</x:v>
      </x:c>
      <x:c r="H7" s="92" t="str">
        <x:v>(10, 130)</x:v>
      </x:c>
      <x:c r="I7" s="92" t="str">
        <x:v>(8, 99)</x:v>
      </x:c>
      <x:c r="J7" s="92" t="str">
        <x:v>(10, 127)</x:v>
      </x:c>
      <x:c r="K7" s="92" t="str">
        <x:v>(9, 113)</x:v>
      </x:c>
      <x:c r="L7" s="92" t="str">
        <x:v>(7, 107)</x:v>
      </x:c>
      <x:c r="M7" s="93" t="n">
        <x:f>IFERROR(AVERAGE('Numeric Picks'!B5:H5),"NaN")</x:f>
        <x:v>9.428571428571429</x:v>
      </x:c>
      <x:c r="N7" s="93" t="n">
        <x:f>IFERROR(AVERAGE('Numeric Picks'!J5:P5),"NaN")</x:f>
        <x:v>122.42857142857143</x:v>
      </x:c>
      <x:c r="O7" s="94" t="n">
        <x:f>COUNT('Numeric Picks'!J5:P5)</x:f>
        <x:v>7</x:v>
      </x:c>
      <x:c r="P7" s="120" t="str"/>
    </x:row>
    <x:row r="8">
      <x:c r="A8" s="90" t="str">
        <x:v>Main list</x:v>
      </x:c>
      <x:c r="B8" s="91" t="str">
        <x:v>Jeremiah Fears</x:v>
      </x:c>
      <x:c r="C8" s="92" t="str">
        <x:v>NOP</x:v>
      </x:c>
      <x:c r="D8" s="92" t="str">
        <x:v>G</x:v>
      </x:c>
      <x:c r="E8" s="92" t="str">
        <x:v>(12, 157)</x:v>
      </x:c>
      <x:c r="F8" s="92" t="str">
        <x:v>(13, 172)</x:v>
      </x:c>
      <x:c r="G8" s="92" t="str">
        <x:v>(12, 159)</x:v>
      </x:c>
      <x:c r="H8" s="92" t="str">
        <x:v>(12, 159)</x:v>
      </x:c>
      <x:c r="I8" s="92" t="str">
        <x:v>(10, 130)</x:v>
      </x:c>
      <x:c r="J8" s="92" t="str">
        <x:v>(12, 155)</x:v>
      </x:c>
      <x:c r="K8" s="92" t="str">
        <x:v>(11, 146)</x:v>
      </x:c>
      <x:c r="L8" s="92" t="str">
        <x:v>(9, 137)</x:v>
      </x:c>
      <x:c r="M8" s="93" t="n">
        <x:f>IFERROR(AVERAGE('Numeric Picks'!B6:H6),"NaN")</x:f>
        <x:v>11.714285714285714</x:v>
      </x:c>
      <x:c r="N8" s="93" t="n">
        <x:f>IFERROR(AVERAGE('Numeric Picks'!J6:P6),"NaN")</x:f>
        <x:v>154</x:v>
      </x:c>
      <x:c r="O8" s="94" t="n">
        <x:f>COUNT('Numeric Picks'!J6:P6)</x:f>
        <x:v>7</x:v>
      </x:c>
      <x:c r="P8" s="120" t="str"/>
    </x:row>
    <x:row r="9">
      <x:c r="A9" s="90" t="str">
        <x:v>Main list</x:v>
      </x:c>
      <x:c r="B9" s="91" t="str">
        <x:v>Yves Missi</x:v>
      </x:c>
      <x:c r="C9" s="92" t="str">
        <x:v>NOP</x:v>
      </x:c>
      <x:c r="D9" s="92" t="str">
        <x:v>C</x:v>
      </x:c>
      <x:c r="E9" s="92" t="str">
        <x:v>(12, 158)</x:v>
      </x:c>
      <x:c r="F9" s="92" t="str">
        <x:v>NaN</x:v>
      </x:c>
      <x:c r="G9" s="92" t="str">
        <x:v>NaN</x:v>
      </x:c>
      <x:c r="H9" s="92" t="str">
        <x:v>NaN</x:v>
      </x:c>
      <x:c r="I9" s="92" t="str">
        <x:v>NaN</x:v>
      </x:c>
      <x:c r="J9" s="92" t="str">
        <x:v>NaN</x:v>
      </x:c>
      <x:c r="K9" s="92" t="str">
        <x:v>(12, 168)</x:v>
      </x:c>
      <x:c r="L9" s="92" t="str">
        <x:v>(10, 146)</x:v>
      </x:c>
      <x:c r="M9" s="93" t="n">
        <x:f>IFERROR(AVERAGE('Numeric Picks'!B7:H7),"NaN")</x:f>
        <x:v>12</x:v>
      </x:c>
      <x:c r="N9" s="93" t="n">
        <x:f>IFERROR(AVERAGE('Numeric Picks'!J7:P7),"NaN")</x:f>
        <x:v>163</x:v>
      </x:c>
      <x:c r="O9" s="94" t="n">
        <x:f>COUNT('Numeric Picks'!J7:P7)</x:f>
        <x:v>2</x:v>
      </x:c>
      <x:c r="P9" s="120" t="str"/>
    </x:row>
    <x:row r="10">
      <x:c r="A10" s="90" t="str">
        <x:v>Main list</x:v>
      </x:c>
      <x:c r="B10" s="91" t="str">
        <x:v>Brandin Podziemski</x:v>
      </x:c>
      <x:c r="C10" s="92" t="str">
        <x:v>GSW</x:v>
      </x:c>
      <x:c r="D10" s="92" t="str">
        <x:v>G</x:v>
      </x:c>
      <x:c r="E10" s="92" t="str">
        <x:v>(9, 113)</x:v>
      </x:c>
      <x:c r="F10" s="92" t="str">
        <x:v>(9, 117)</x:v>
      </x:c>
      <x:c r="G10" s="92" t="str">
        <x:v>(9, 113)</x:v>
      </x:c>
      <x:c r="H10" s="92" t="str">
        <x:v>(9, 113)</x:v>
      </x:c>
      <x:c r="I10" s="92" t="str">
        <x:v>(9, 120)</x:v>
      </x:c>
      <x:c r="J10" s="92" t="str">
        <x:v>(9, 119)</x:v>
      </x:c>
      <x:c r="K10" s="92" t="str">
        <x:v>(8, 107)</x:v>
      </x:c>
      <x:c r="L10" s="92" t="str">
        <x:v>(7, 103)</x:v>
      </x:c>
      <x:c r="M10" s="93" t="n">
        <x:f>IFERROR(AVERAGE('Numeric Picks'!B8:H8),"NaN")</x:f>
        <x:v>8.857142857142858</x:v>
      </x:c>
      <x:c r="N10" s="93" t="n">
        <x:f>IFERROR(AVERAGE('Numeric Picks'!J8:P8),"NaN")</x:f>
        <x:v>114.57142857142857</x:v>
      </x:c>
      <x:c r="O10" s="94" t="n">
        <x:f>COUNT('Numeric Picks'!J8:P8)</x:f>
        <x:v>7</x:v>
      </x:c>
      <x:c r="P10" s="120" t="str"/>
    </x:row>
    <x:row r="11">
      <x:c r="A11" s="90" t="str">
        <x:v>Main list</x:v>
      </x:c>
      <x:c r="B11" s="91" t="str">
        <x:v>Jalen Green</x:v>
      </x:c>
      <x:c r="C11" s="92" t="str">
        <x:v>PHX</x:v>
      </x:c>
      <x:c r="D11" s="92" t="str">
        <x:v>G</x:v>
      </x:c>
      <x:c r="E11" s="92" t="str">
        <x:v>(10, 127)</x:v>
      </x:c>
      <x:c r="F11" s="92" t="str">
        <x:v>(9, 121)</x:v>
      </x:c>
      <x:c r="G11" s="92" t="str">
        <x:v>(7, 91)</x:v>
      </x:c>
      <x:c r="H11" s="92" t="str">
        <x:v>(7, 91)</x:v>
      </x:c>
      <x:c r="I11" s="92" t="str">
        <x:v>(9, 117)</x:v>
      </x:c>
      <x:c r="J11" s="92" t="str">
        <x:v>(9, 124)</x:v>
      </x:c>
      <x:c r="K11" s="92" t="str">
        <x:v>(8, 102)</x:v>
      </x:c>
      <x:c r="L11" s="92" t="str">
        <x:v>(8, 123)</x:v>
      </x:c>
      <x:c r="M11" s="93" t="n">
        <x:f>IFERROR(AVERAGE('Numeric Picks'!B9:H9),"NaN")</x:f>
        <x:v>8.428571428571429</x:v>
      </x:c>
      <x:c r="N11" s="93" t="n">
        <x:f>IFERROR(AVERAGE('Numeric Picks'!J9:P9),"NaN")</x:f>
        <x:v>110.42857142857143</x:v>
      </x:c>
      <x:c r="O11" s="94" t="n">
        <x:f>COUNT('Numeric Picks'!J9:P9)</x:f>
        <x:v>7</x:v>
      </x:c>
      <x:c r="P11" s="120" t="str"/>
    </x:row>
    <x:row r="12">
      <x:c r="A12" s="90" t="str">
        <x:v>Main list</x:v>
      </x:c>
      <x:c r="B12" s="91" t="str">
        <x:v>Ajay Mitchell</x:v>
      </x:c>
      <x:c r="C12" s="92" t="str">
        <x:v>OKC</x:v>
      </x:c>
      <x:c r="D12" s="92" t="str">
        <x:v>G</x:v>
      </x:c>
      <x:c r="E12" s="92" t="str">
        <x:v>(10, 136)</x:v>
      </x:c>
      <x:c r="F12" s="92" t="str">
        <x:v>(12, 162)</x:v>
      </x:c>
      <x:c r="G12" s="92" t="str">
        <x:v>(10, 139)</x:v>
      </x:c>
      <x:c r="H12" s="92" t="str">
        <x:v>(10, 139)</x:v>
      </x:c>
      <x:c r="I12" s="92" t="str">
        <x:v>(12, 160)</x:v>
      </x:c>
      <x:c r="J12" s="92" t="str">
        <x:v>(9, 123)</x:v>
      </x:c>
      <x:c r="K12" s="92" t="str">
        <x:v>(10, 139)</x:v>
      </x:c>
      <x:c r="L12" s="92" t="str">
        <x:v>(10, 156)</x:v>
      </x:c>
      <x:c r="M12" s="93" t="n">
        <x:f>IFERROR(AVERAGE('Numeric Picks'!B10:H10),"NaN")</x:f>
        <x:v>10.428571428571429</x:v>
      </x:c>
      <x:c r="N12" s="93" t="n">
        <x:f>IFERROR(AVERAGE('Numeric Picks'!J10:P10),"NaN")</x:f>
        <x:v>142.57142857142858</x:v>
      </x:c>
      <x:c r="O12" s="94" t="n">
        <x:f>COUNT('Numeric Picks'!J10:P10)</x:f>
        <x:v>7</x:v>
      </x:c>
      <x:c r="P12" s="120" t="str"/>
    </x:row>
    <x:row r="13">
      <x:c r="A13" s="90" t="str">
        <x:v>Main list</x:v>
      </x:c>
      <x:c r="B13" s="91" t="str">
        <x:v>Egor Dëmin</x:v>
      </x:c>
      <x:c r="C13" s="92" t="str">
        <x:v>BKN</x:v>
      </x:c>
      <x:c r="D13" s="92" t="str">
        <x:v>G</x:v>
      </x:c>
      <x:c r="E13" s="92" t="str">
        <x:v>(11, 142)</x:v>
      </x:c>
      <x:c r="F13" s="92" t="str">
        <x:v>(10, 140)</x:v>
      </x:c>
      <x:c r="G13" s="92" t="str">
        <x:v>(11, 141)</x:v>
      </x:c>
      <x:c r="H13" s="92" t="str">
        <x:v>(11, 141)</x:v>
      </x:c>
      <x:c r="I13" s="92" t="str">
        <x:v>(11, 149)</x:v>
      </x:c>
      <x:c r="J13" s="92" t="str">
        <x:v>(11, 143)</x:v>
      </x:c>
      <x:c r="K13" s="92" t="str">
        <x:v>(12, 166)</x:v>
      </x:c>
      <x:c r="L13" s="92" t="str">
        <x:v>(10, 145)</x:v>
      </x:c>
      <x:c r="M13" s="93" t="n">
        <x:f>IFERROR(AVERAGE('Numeric Picks'!B11:H11),"NaN")</x:f>
        <x:v>11</x:v>
      </x:c>
      <x:c r="N13" s="93" t="n">
        <x:f>IFERROR(AVERAGE('Numeric Picks'!J11:P11),"NaN")</x:f>
        <x:v>146</x:v>
      </x:c>
      <x:c r="O13" s="94" t="n">
        <x:f>COUNT('Numeric Picks'!J11:P11)</x:f>
        <x:v>7</x:v>
      </x:c>
      <x:c r="P13" s="120" t="str">
        <x:v>Interpreted from 'dourman ... BKN Nets'.</x:v>
      </x:c>
    </x:row>
    <x:row r="14">
      <x:c r="A14" s="90" t="str">
        <x:v>Main list</x:v>
      </x:c>
      <x:c r="B14" s="91" t="str">
        <x:v>Khaman Maluach</x:v>
      </x:c>
      <x:c r="C14" s="92" t="str">
        <x:v>PHX</x:v>
      </x:c>
      <x:c r="D14" s="92" t="str">
        <x:v>C</x:v>
      </x:c>
      <x:c r="E14" s="92" t="str">
        <x:v>(12, 164)</x:v>
      </x:c>
      <x:c r="F14" s="92" t="str">
        <x:v>(9, 113)</x:v>
      </x:c>
      <x:c r="G14" s="92" t="str">
        <x:v>(13, 177)</x:v>
      </x:c>
      <x:c r="H14" s="92" t="str">
        <x:v>(13, 177)</x:v>
      </x:c>
      <x:c r="I14" s="92" t="str">
        <x:v>(12, 156)</x:v>
      </x:c>
      <x:c r="J14" s="92" t="str">
        <x:v>(11, 154)</x:v>
      </x:c>
      <x:c r="K14" s="92" t="str">
        <x:v>(7, 98)</x:v>
      </x:c>
      <x:c r="L14" s="92" t="str">
        <x:v>(7, 102)</x:v>
      </x:c>
      <x:c r="M14" s="93" t="n">
        <x:f>IFERROR(AVERAGE('Numeric Picks'!B12:H12),"NaN")</x:f>
        <x:v>11</x:v>
      </x:c>
      <x:c r="N14" s="93" t="n">
        <x:f>IFERROR(AVERAGE('Numeric Picks'!J12:P12),"NaN")</x:f>
        <x:v>148.42857142857142</x:v>
      </x:c>
      <x:c r="O14" s="94" t="n">
        <x:f>COUNT('Numeric Picks'!J12:P12)</x:f>
        <x:v>7</x:v>
      </x:c>
      <x:c r="P14" s="120" t="str"/>
    </x:row>
    <x:row r="15">
      <x:c r="A15" s="95" t="str">
        <x:v>Low confidence</x:v>
      </x:c>
      <x:c r="B15" s="96" t="str">
        <x:v>Baylor Scheierman</x:v>
      </x:c>
      <x:c r="C15" s="97" t="str">
        <x:v>BOS</x:v>
      </x:c>
      <x:c r="D15" s="97" t="str">
        <x:v>G</x:v>
      </x:c>
      <x:c r="E15" s="97" t="str">
        <x:v>NaN</x:v>
      </x:c>
      <x:c r="F15" s="97" t="str">
        <x:v>NaN</x:v>
      </x:c>
      <x:c r="G15" s="97" t="str">
        <x:v>NaN</x:v>
      </x:c>
      <x:c r="H15" s="97" t="str">
        <x:v>NaN</x:v>
      </x:c>
      <x:c r="I15" s="97" t="str">
        <x:v>NaN</x:v>
      </x:c>
      <x:c r="J15" s="97" t="str">
        <x:v>NaN</x:v>
      </x:c>
      <x:c r="K15" s="97" t="str">
        <x:v>NaN</x:v>
      </x:c>
      <x:c r="L15" s="97" t="str">
        <x:v>NaN</x:v>
      </x:c>
      <x:c r="M15" s="98" t="str">
        <x:f>IFERROR(AVERAGE('Numeric Picks'!B13:H13),"NaN")</x:f>
        <x:v>NaN</x:v>
      </x:c>
      <x:c r="N15" s="98" t="str">
        <x:f>IFERROR(AVERAGE('Numeric Picks'!J13:P13),"NaN")</x:f>
        <x:v>NaN</x:v>
      </x:c>
      <x:c r="O15" s="99" t="n">
        <x:f>COUNT('Numeric Picks'!J13:P13)</x:f>
        <x:v>0</x:v>
      </x:c>
      <x:c r="P15" s="121" t="str"/>
    </x:row>
    <x:row r="16">
      <x:c r="A16" s="95" t="str">
        <x:v>Low confidence</x:v>
      </x:c>
      <x:c r="B16" s="96" t="str">
        <x:v>Grayson Allen</x:v>
      </x:c>
      <x:c r="C16" s="97" t="str">
        <x:v>CHA</x:v>
      </x:c>
      <x:c r="D16" s="97" t="str">
        <x:v>G</x:v>
      </x:c>
      <x:c r="E16" s="97" t="str">
        <x:v>(13, 174)</x:v>
      </x:c>
      <x:c r="F16" s="97" t="str">
        <x:v>(13, 176)</x:v>
      </x:c>
      <x:c r="G16" s="97" t="str">
        <x:v>(13, 178)</x:v>
      </x:c>
      <x:c r="H16" s="97" t="str">
        <x:v>(13, 178)</x:v>
      </x:c>
      <x:c r="I16" s="97" t="str">
        <x:v>(13, 172)</x:v>
      </x:c>
      <x:c r="J16" s="97" t="str">
        <x:v>(13, 173)</x:v>
      </x:c>
      <x:c r="K16" s="97" t="str">
        <x:v>(12, 162)</x:v>
      </x:c>
      <x:c r="L16" s="97" t="str">
        <x:v>(12, 182)</x:v>
      </x:c>
      <x:c r="M16" s="98" t="n">
        <x:f>IFERROR(AVERAGE('Numeric Picks'!B14:H14),"NaN")</x:f>
        <x:v>12.857142857142858</x:v>
      </x:c>
      <x:c r="N16" s="98" t="n">
        <x:f>IFERROR(AVERAGE('Numeric Picks'!J14:P14),"NaN")</x:f>
        <x:v>173.28571428571428</x:v>
      </x:c>
      <x:c r="O16" s="99" t="n">
        <x:f>COUNT('Numeric Picks'!J14:P14)</x:f>
        <x:v>7</x:v>
      </x:c>
      <x:c r="P16" s="121" t="str"/>
    </x:row>
    <x:row r="17">
      <x:c r="A17" s="95" t="str">
        <x:v>Low confidence</x:v>
      </x:c>
      <x:c r="B17" s="96" t="str">
        <x:v>Moussa Diabaté</x:v>
      </x:c>
      <x:c r="C17" s="97" t="str">
        <x:v>CHA</x:v>
      </x:c>
      <x:c r="D17" s="97" t="str">
        <x:v>F</x:v>
      </x:c>
      <x:c r="E17" s="97" t="str">
        <x:v>(12, 156)</x:v>
      </x:c>
      <x:c r="F17" s="97" t="str">
        <x:v>NaN</x:v>
      </x:c>
      <x:c r="G17" s="97" t="str">
        <x:v>NaN</x:v>
      </x:c>
      <x:c r="H17" s="97" t="str">
        <x:v>NaN</x:v>
      </x:c>
      <x:c r="I17" s="97" t="str">
        <x:v>NaN</x:v>
      </x:c>
      <x:c r="J17" s="97" t="str">
        <x:v>(13, 178)</x:v>
      </x:c>
      <x:c r="K17" s="97" t="str">
        <x:v>(11, 153)</x:v>
      </x:c>
      <x:c r="L17" s="97" t="str">
        <x:v>(9, 136)</x:v>
      </x:c>
      <x:c r="M17" s="98" t="n">
        <x:f>IFERROR(AVERAGE('Numeric Picks'!B15:H15),"NaN")</x:f>
        <x:v>12</x:v>
      </x:c>
      <x:c r="N17" s="98" t="n">
        <x:f>IFERROR(AVERAGE('Numeric Picks'!J15:P15),"NaN")</x:f>
        <x:v>162.33333333333334</x:v>
      </x:c>
      <x:c r="O17" s="99" t="n">
        <x:f>COUNT('Numeric Picks'!J15:P15)</x:f>
        <x:v>3</x:v>
      </x:c>
      <x:c r="P17" s="121" t="str"/>
    </x:row>
    <x:row r="18">
      <x:c r="A18" s="95" t="str">
        <x:v>Low confidence</x:v>
      </x:c>
      <x:c r="B18" s="96" t="str">
        <x:v>De'Anthony Melton</x:v>
      </x:c>
      <x:c r="C18" s="97" t="str">
        <x:v>GSW</x:v>
      </x:c>
      <x:c r="D18" s="97" t="str">
        <x:v>G</x:v>
      </x:c>
      <x:c r="E18" s="97" t="str">
        <x:v>NaN</x:v>
      </x:c>
      <x:c r="F18" s="97" t="str">
        <x:v>NaN</x:v>
      </x:c>
      <x:c r="G18" s="97" t="str">
        <x:v>NaN</x:v>
      </x:c>
      <x:c r="H18" s="97" t="str">
        <x:v>NaN</x:v>
      </x:c>
      <x:c r="I18" s="97" t="str">
        <x:v>NaN</x:v>
      </x:c>
      <x:c r="J18" s="97" t="str">
        <x:v>NaN</x:v>
      </x:c>
      <x:c r="K18" s="97" t="str">
        <x:v>NaN</x:v>
      </x:c>
      <x:c r="L18" s="97" t="str">
        <x:v>(15, 231)</x:v>
      </x:c>
      <x:c r="M18" s="98" t="str">
        <x:f>IFERROR(AVERAGE('Numeric Picks'!B16:H16),"NaN")</x:f>
        <x:v>NaN</x:v>
      </x:c>
      <x:c r="N18" s="98" t="str">
        <x:f>IFERROR(AVERAGE('Numeric Picks'!J16:P16),"NaN")</x:f>
        <x:v>NaN</x:v>
      </x:c>
      <x:c r="O18" s="99" t="n">
        <x:f>COUNT('Numeric Picks'!J16:P16)</x:f>
        <x:v>0</x:v>
      </x:c>
      <x:c r="P18" s="121" t="str"/>
    </x:row>
    <x:row r="19">
      <x:c r="A19" s="95" t="str">
        <x:v>Low confidence</x:v>
      </x:c>
      <x:c r="B19" s="96" t="str">
        <x:v>Max Strus</x:v>
      </x:c>
      <x:c r="C19" s="97" t="str">
        <x:v>LAC</x:v>
      </x:c>
      <x:c r="D19" s="97" t="str">
        <x:v>G-F</x:v>
      </x:c>
      <x:c r="E19" s="97" t="str">
        <x:v>NaN</x:v>
      </x:c>
      <x:c r="F19" s="97" t="str">
        <x:v>NaN</x:v>
      </x:c>
      <x:c r="G19" s="97" t="str">
        <x:v>NaN</x:v>
      </x:c>
      <x:c r="H19" s="97" t="str">
        <x:v>NaN</x:v>
      </x:c>
      <x:c r="I19" s="97" t="str">
        <x:v>NaN</x:v>
      </x:c>
      <x:c r="J19" s="97" t="str">
        <x:v>NaN</x:v>
      </x:c>
      <x:c r="K19" s="97" t="str">
        <x:v>NaN</x:v>
      </x:c>
      <x:c r="L19" s="97" t="str">
        <x:v>NaN</x:v>
      </x:c>
      <x:c r="M19" s="98" t="str">
        <x:f>IFERROR(AVERAGE('Numeric Picks'!B17:H17),"NaN")</x:f>
        <x:v>NaN</x:v>
      </x:c>
      <x:c r="N19" s="98" t="str">
        <x:f>IFERROR(AVERAGE('Numeric Picks'!J17:P17),"NaN")</x:f>
        <x:v>NaN</x:v>
      </x:c>
      <x:c r="O19" s="99" t="n">
        <x:f>COUNT('Numeric Picks'!J17:P17)</x:f>
        <x:v>0</x:v>
      </x:c>
      <x:c r="P19" s="121" t="str"/>
    </x:row>
    <x:row r="20">
      <x:c r="A20" s="95" t="str">
        <x:v>Low confidence</x:v>
      </x:c>
      <x:c r="B20" s="96" t="str">
        <x:v>Quentin Grimes</x:v>
      </x:c>
      <x:c r="C20" s="97" t="str">
        <x:v>LAL</x:v>
      </x:c>
      <x:c r="D20" s="97" t="str">
        <x:v>G</x:v>
      </x:c>
      <x:c r="E20" s="97" t="str">
        <x:v>(9, 124)</x:v>
      </x:c>
      <x:c r="F20" s="97" t="str">
        <x:v>(11, 152)</x:v>
      </x:c>
      <x:c r="G20" s="97" t="str">
        <x:v>(11, 148)</x:v>
      </x:c>
      <x:c r="H20" s="97" t="str">
        <x:v>(11, 148)</x:v>
      </x:c>
      <x:c r="I20" s="97" t="str">
        <x:v>(12, 159)</x:v>
      </x:c>
      <x:c r="J20" s="97" t="str">
        <x:v>(8, 101)</x:v>
      </x:c>
      <x:c r="K20" s="97" t="str">
        <x:v>(11, 151)</x:v>
      </x:c>
      <x:c r="L20" s="97" t="str">
        <x:v>(9, 134)</x:v>
      </x:c>
      <x:c r="M20" s="98" t="n">
        <x:f>IFERROR(AVERAGE('Numeric Picks'!B18:H18),"NaN")</x:f>
        <x:v>10.428571428571429</x:v>
      </x:c>
      <x:c r="N20" s="98" t="n">
        <x:f>IFERROR(AVERAGE('Numeric Picks'!J18:P18),"NaN")</x:f>
        <x:v>140.42857142857142</x:v>
      </x:c>
      <x:c r="O20" s="99" t="n">
        <x:f>COUNT('Numeric Picks'!J18:P18)</x:f>
        <x:v>7</x:v>
      </x:c>
      <x:c r="P20" s="121" t="str"/>
    </x:row>
    <x:row r="21">
      <x:c r="A21" s="95" t="str">
        <x:v>Low confidence</x:v>
      </x:c>
      <x:c r="B21" s="96" t="str">
        <x:v>Cedric Coward</x:v>
      </x:c>
      <x:c r="C21" s="97" t="str">
        <x:v>MEM</x:v>
      </x:c>
      <x:c r="D21" s="97" t="str">
        <x:v>G</x:v>
      </x:c>
      <x:c r="E21" s="97" t="str">
        <x:v>(8, 108)</x:v>
      </x:c>
      <x:c r="F21" s="97" t="str">
        <x:v>(8, 99)</x:v>
      </x:c>
      <x:c r="G21" s="97" t="str">
        <x:v>(9, 114)</x:v>
      </x:c>
      <x:c r="H21" s="97" t="str">
        <x:v>(9, 114)</x:v>
      </x:c>
      <x:c r="I21" s="97" t="str">
        <x:v>(8, 103)</x:v>
      </x:c>
      <x:c r="J21" s="97" t="str">
        <x:v>(8, 99)</x:v>
      </x:c>
      <x:c r="K21" s="97" t="str">
        <x:v>(7, 91)</x:v>
      </x:c>
      <x:c r="L21" s="97" t="str">
        <x:v>(6, 96)</x:v>
      </x:c>
      <x:c r="M21" s="98" t="n">
        <x:f>IFERROR(AVERAGE('Numeric Picks'!B19:H19),"NaN")</x:f>
        <x:v>8.142857142857142</x:v>
      </x:c>
      <x:c r="N21" s="98" t="n">
        <x:f>IFERROR(AVERAGE('Numeric Picks'!J19:P19),"NaN")</x:f>
        <x:v>104</x:v>
      </x:c>
      <x:c r="O21" s="99" t="n">
        <x:f>COUNT('Numeric Picks'!J19:P19)</x:f>
        <x:v>7</x:v>
      </x:c>
      <x:c r="P21" s="121" t="str"/>
    </x:row>
    <x:row r="22">
      <x:c r="A22" s="95" t="str">
        <x:v>Low confidence</x:v>
      </x:c>
      <x:c r="B22" s="96" t="str">
        <x:v>Pelle Larsson</x:v>
      </x:c>
      <x:c r="C22" s="97" t="str">
        <x:v>MIA</x:v>
      </x:c>
      <x:c r="D22" s="97" t="str">
        <x:v>G</x:v>
      </x:c>
      <x:c r="E22" s="97" t="str">
        <x:v>NaN</x:v>
      </x:c>
      <x:c r="F22" s="97" t="str">
        <x:v>NaN</x:v>
      </x:c>
      <x:c r="G22" s="97" t="str">
        <x:v>NaN</x:v>
      </x:c>
      <x:c r="H22" s="97" t="str">
        <x:v>NaN</x:v>
      </x:c>
      <x:c r="I22" s="97" t="str">
        <x:v>NaN</x:v>
      </x:c>
      <x:c r="J22" s="97" t="str">
        <x:v>NaN</x:v>
      </x:c>
      <x:c r="K22" s="97" t="str">
        <x:v>NaN</x:v>
      </x:c>
      <x:c r="L22" s="97" t="str">
        <x:v>(11, 164)</x:v>
      </x:c>
      <x:c r="M22" s="98" t="str">
        <x:f>IFERROR(AVERAGE('Numeric Picks'!B20:H20),"NaN")</x:f>
        <x:v>NaN</x:v>
      </x:c>
      <x:c r="N22" s="98" t="str">
        <x:f>IFERROR(AVERAGE('Numeric Picks'!J20:P20),"NaN")</x:f>
        <x:v>NaN</x:v>
      </x:c>
      <x:c r="O22" s="99" t="n">
        <x:f>COUNT('Numeric Picks'!J20:P20)</x:f>
        <x:v>0</x:v>
      </x:c>
      <x:c r="P22" s="121" t="str"/>
    </x:row>
    <x:row r="23">
      <x:c r="A23" s="95" t="str">
        <x:v>Low confidence</x:v>
      </x:c>
      <x:c r="B23" s="96" t="str">
        <x:v>Myles Turner</x:v>
      </x:c>
      <x:c r="C23" s="97" t="str">
        <x:v>MIL</x:v>
      </x:c>
      <x:c r="D23" s="97" t="str">
        <x:v>C-F</x:v>
      </x:c>
      <x:c r="E23" s="97" t="str">
        <x:v>(7, 92)</x:v>
      </x:c>
      <x:c r="F23" s="97" t="str">
        <x:v>(8, 106)</x:v>
      </x:c>
      <x:c r="G23" s="97" t="str">
        <x:v>(7, 98)</x:v>
      </x:c>
      <x:c r="H23" s="97" t="str">
        <x:v>(7, 98)</x:v>
      </x:c>
      <x:c r="I23" s="97" t="str">
        <x:v>(8, 102)</x:v>
      </x:c>
      <x:c r="J23" s="97" t="str">
        <x:v>(8, 102)</x:v>
      </x:c>
      <x:c r="K23" s="97" t="str">
        <x:v>(8, 106)</x:v>
      </x:c>
      <x:c r="L23" s="97" t="str">
        <x:v>(7, 106)</x:v>
      </x:c>
      <x:c r="M23" s="98" t="n">
        <x:f>IFERROR(AVERAGE('Numeric Picks'!B21:H21),"NaN")</x:f>
        <x:v>7.571428571428571</x:v>
      </x:c>
      <x:c r="N23" s="98" t="n">
        <x:f>IFERROR(AVERAGE('Numeric Picks'!J21:P21),"NaN")</x:f>
        <x:v>100.57142857142857</x:v>
      </x:c>
      <x:c r="O23" s="99" t="n">
        <x:f>COUNT('Numeric Picks'!J21:P21)</x:f>
        <x:v>7</x:v>
      </x:c>
      <x:c r="P23" s="121" t="str"/>
    </x:row>
    <x:row r="24">
      <x:c r="A24" s="95" t="str">
        <x:v>Low confidence</x:v>
      </x:c>
      <x:c r="B24" s="96" t="str">
        <x:v>Jalen Suggs</x:v>
      </x:c>
      <x:c r="C24" s="97" t="str">
        <x:v>ORL</x:v>
      </x:c>
      <x:c r="D24" s="97" t="str">
        <x:v>G</x:v>
      </x:c>
      <x:c r="E24" s="97" t="str">
        <x:v>(8, 104)</x:v>
      </x:c>
      <x:c r="F24" s="97" t="str">
        <x:v>(8, 104)</x:v>
      </x:c>
      <x:c r="G24" s="97" t="str">
        <x:v>(8, 108)</x:v>
      </x:c>
      <x:c r="H24" s="97" t="str">
        <x:v>(8, 108)</x:v>
      </x:c>
      <x:c r="I24" s="97" t="str">
        <x:v>(8, 109)</x:v>
      </x:c>
      <x:c r="J24" s="97" t="str">
        <x:v>(9, 114)</x:v>
      </x:c>
      <x:c r="K24" s="97" t="str">
        <x:v>(8, 108)</x:v>
      </x:c>
      <x:c r="L24" s="97" t="str">
        <x:v>(8, 113)</x:v>
      </x:c>
      <x:c r="M24" s="98" t="n">
        <x:f>IFERROR(AVERAGE('Numeric Picks'!B22:H22),"NaN")</x:f>
        <x:v>8.142857142857142</x:v>
      </x:c>
      <x:c r="N24" s="98" t="n">
        <x:f>IFERROR(AVERAGE('Numeric Picks'!J22:P22),"NaN")</x:f>
        <x:v>107.85714285714286</x:v>
      </x:c>
      <x:c r="O24" s="99" t="n">
        <x:f>COUNT('Numeric Picks'!J22:P22)</x:f>
        <x:v>7</x:v>
      </x:c>
      <x:c r="P24" s="121" t="str"/>
    </x:row>
    <x:row r="25">
      <x:c r="A25" s="95" t="str">
        <x:v>Low confidence</x:v>
      </x:c>
      <x:c r="B25" s="96" t="str">
        <x:v>Collin Gillespie</x:v>
      </x:c>
      <x:c r="C25" s="97" t="str">
        <x:v>PHX</x:v>
      </x:c>
      <x:c r="D25" s="97" t="str">
        <x:v>G</x:v>
      </x:c>
      <x:c r="E25" s="97" t="str">
        <x:v>(10, 133)</x:v>
      </x:c>
      <x:c r="F25" s="97" t="str">
        <x:v>(10, 138)</x:v>
      </x:c>
      <x:c r="G25" s="97" t="str">
        <x:v>(9, 117)</x:v>
      </x:c>
      <x:c r="H25" s="97" t="str">
        <x:v>(9, 117)</x:v>
      </x:c>
      <x:c r="I25" s="97" t="str">
        <x:v>(11, 147)</x:v>
      </x:c>
      <x:c r="J25" s="97" t="str">
        <x:v>(11, 141)</x:v>
      </x:c>
      <x:c r="K25" s="97" t="str">
        <x:v>(11, 144)</x:v>
      </x:c>
      <x:c r="L25" s="97" t="str">
        <x:v>(10, 147)</x:v>
      </x:c>
      <x:c r="M25" s="98" t="n">
        <x:f>IFERROR(AVERAGE('Numeric Picks'!B23:H23),"NaN")</x:f>
        <x:v>10.142857142857142</x:v>
      </x:c>
      <x:c r="N25" s="98" t="n">
        <x:f>IFERROR(AVERAGE('Numeric Picks'!J23:P23),"NaN")</x:f>
        <x:v>133.85714285714286</x:v>
      </x:c>
      <x:c r="O25" s="99" t="n">
        <x:f>COUNT('Numeric Picks'!J23:P23)</x:f>
        <x:v>7</x:v>
      </x:c>
      <x:c r="P25" s="121" t="str"/>
    </x:row>
    <x:row r="26">
      <x:c r="A26" s="100" t="str">
        <x:v>Sleepers</x:v>
      </x:c>
      <x:c r="B26" s="101" t="str">
        <x:v>Domantas Sabonis</x:v>
      </x:c>
      <x:c r="C26" s="102" t="str">
        <x:v>SAC</x:v>
      </x:c>
      <x:c r="D26" s="102" t="str">
        <x:v>F-C</x:v>
      </x:c>
      <x:c r="E26" s="102" t="str">
        <x:v>(4, 44)</x:v>
      </x:c>
      <x:c r="F26" s="102" t="str">
        <x:v>(1, 13)</x:v>
      </x:c>
      <x:c r="G26" s="102" t="str">
        <x:v>(3, 35)</x:v>
      </x:c>
      <x:c r="H26" s="102" t="str">
        <x:v>(3, 35)</x:v>
      </x:c>
      <x:c r="I26" s="102" t="str">
        <x:v>(4, 47)</x:v>
      </x:c>
      <x:c r="J26" s="102" t="str">
        <x:v>(3, 38)</x:v>
      </x:c>
      <x:c r="K26" s="102" t="str">
        <x:v>(3, 31)</x:v>
      </x:c>
      <x:c r="L26" s="102" t="str">
        <x:v>(2, 23)</x:v>
      </x:c>
      <x:c r="M26" s="103" t="n">
        <x:f>IFERROR(AVERAGE('Numeric Picks'!B24:H24),"NaN")</x:f>
        <x:v>3</x:v>
      </x:c>
      <x:c r="N26" s="103" t="n">
        <x:f>IFERROR(AVERAGE('Numeric Picks'!J24:P24),"NaN")</x:f>
        <x:v>34.714285714285715</x:v>
      </x:c>
      <x:c r="O26" s="104" t="n">
        <x:f>COUNT('Numeric Picks'!J24:P24)</x:f>
        <x:v>7</x:v>
      </x:c>
      <x:c r="P26" s="122" t="str"/>
    </x:row>
    <x:row r="27">
      <x:c r="A27" s="100" t="str">
        <x:v>Sleepers</x:v>
      </x:c>
      <x:c r="B27" s="101" t="str">
        <x:v>Josh Giddey</x:v>
      </x:c>
      <x:c r="C27" s="102" t="str">
        <x:v>CHI</x:v>
      </x:c>
      <x:c r="D27" s="102" t="str">
        <x:v>G</x:v>
      </x:c>
      <x:c r="E27" s="102" t="str">
        <x:v>(2, 28)</x:v>
      </x:c>
      <x:c r="F27" s="102" t="str">
        <x:v>(2, 28)</x:v>
      </x:c>
      <x:c r="G27" s="102" t="str">
        <x:v>(2, 26)</x:v>
      </x:c>
      <x:c r="H27" s="102" t="str">
        <x:v>(2, 26)</x:v>
      </x:c>
      <x:c r="I27" s="102" t="str">
        <x:v>(2, 17)</x:v>
      </x:c>
      <x:c r="J27" s="102" t="str">
        <x:v>(2, 24)</x:v>
      </x:c>
      <x:c r="K27" s="102" t="str">
        <x:v>(1, 13)</x:v>
      </x:c>
      <x:c r="L27" s="102" t="str">
        <x:v>(2, 19)</x:v>
      </x:c>
      <x:c r="M27" s="103" t="n">
        <x:f>IFERROR(AVERAGE('Numeric Picks'!B25:H25),"NaN")</x:f>
        <x:v>1.8571428571428572</x:v>
      </x:c>
      <x:c r="N27" s="103" t="n">
        <x:f>IFERROR(AVERAGE('Numeric Picks'!J25:P25),"NaN")</x:f>
        <x:v>23.142857142857142</x:v>
      </x:c>
      <x:c r="O27" s="104" t="n">
        <x:f>COUNT('Numeric Picks'!J25:P25)</x:f>
        <x:v>7</x:v>
      </x:c>
      <x:c r="P27" s="122" t="str"/>
    </x:row>
    <x:row r="28">
      <x:c r="A28" s="100" t="str">
        <x:v>Sleepers</x:v>
      </x:c>
      <x:c r="B28" s="101" t="str">
        <x:v>Paolo Banchero</x:v>
      </x:c>
      <x:c r="C28" s="102" t="str">
        <x:v>ORL</x:v>
      </x:c>
      <x:c r="D28" s="102" t="str">
        <x:v>F</x:v>
      </x:c>
      <x:c r="E28" s="102" t="str">
        <x:v>(3, 42)</x:v>
      </x:c>
      <x:c r="F28" s="102" t="str">
        <x:v>(4, 46)</x:v>
      </x:c>
      <x:c r="G28" s="102" t="str">
        <x:v>(4, 47)</x:v>
      </x:c>
      <x:c r="H28" s="102" t="str">
        <x:v>(4, 47)</x:v>
      </x:c>
      <x:c r="I28" s="102" t="str">
        <x:v>(4, 52)</x:v>
      </x:c>
      <x:c r="J28" s="102" t="str">
        <x:v>(4, 49)</x:v>
      </x:c>
      <x:c r="K28" s="102" t="str">
        <x:v>(3, 38)</x:v>
      </x:c>
      <x:c r="L28" s="102" t="str">
        <x:v>(3, 38)</x:v>
      </x:c>
      <x:c r="M28" s="103" t="n">
        <x:f>IFERROR(AVERAGE('Numeric Picks'!B26:H26),"NaN")</x:f>
        <x:v>3.7142857142857144</x:v>
      </x:c>
      <x:c r="N28" s="103" t="n">
        <x:f>IFERROR(AVERAGE('Numeric Picks'!J26:P26),"NaN")</x:f>
        <x:v>45.857142857142854</x:v>
      </x:c>
      <x:c r="O28" s="104" t="n">
        <x:f>COUNT('Numeric Picks'!J26:P26)</x:f>
        <x:v>7</x:v>
      </x:c>
      <x:c r="P28" s="122" t="str"/>
    </x:row>
    <x:row r="29">
      <x:c r="A29" s="100" t="str">
        <x:v>Sleepers</x:v>
      </x:c>
      <x:c r="B29" s="101" t="str">
        <x:v>Jaylen Brown</x:v>
      </x:c>
      <x:c r="C29" s="102" t="str">
        <x:v>PHI</x:v>
      </x:c>
      <x:c r="D29" s="102" t="str">
        <x:v>G-F</x:v>
      </x:c>
      <x:c r="E29" s="102" t="str">
        <x:v>(3, 38)</x:v>
      </x:c>
      <x:c r="F29" s="102" t="str">
        <x:v>(3, 36)</x:v>
      </x:c>
      <x:c r="G29" s="102" t="str">
        <x:v>(2, 28)</x:v>
      </x:c>
      <x:c r="H29" s="102" t="str">
        <x:v>(2, 28)</x:v>
      </x:c>
      <x:c r="I29" s="102" t="str">
        <x:v>(3, 34)</x:v>
      </x:c>
      <x:c r="J29" s="102" t="str">
        <x:v>(3, 29)</x:v>
      </x:c>
      <x:c r="K29" s="102" t="str">
        <x:v>(3, 36)</x:v>
      </x:c>
      <x:c r="L29" s="102" t="str">
        <x:v>(3, 44)</x:v>
      </x:c>
      <x:c r="M29" s="103" t="n">
        <x:f>IFERROR(AVERAGE('Numeric Picks'!B27:H27),"NaN")</x:f>
        <x:v>2.7142857142857144</x:v>
      </x:c>
      <x:c r="N29" s="103" t="n">
        <x:f>IFERROR(AVERAGE('Numeric Picks'!J27:P27),"NaN")</x:f>
        <x:v>32.714285714285715</x:v>
      </x:c>
      <x:c r="O29" s="104" t="n">
        <x:f>COUNT('Numeric Picks'!J27:P27)</x:f>
        <x:v>7</x:v>
      </x:c>
      <x:c r="P29" s="122" t="str"/>
    </x:row>
    <x:row r="30">
      <x:c r="A30" s="100" t="str">
        <x:v>Sleepers</x:v>
      </x:c>
      <x:c r="B30" s="101" t="str">
        <x:v>Deni Avdija</x:v>
      </x:c>
      <x:c r="C30" s="102" t="str">
        <x:v>POR</x:v>
      </x:c>
      <x:c r="D30" s="102" t="str">
        <x:v>F</x:v>
      </x:c>
      <x:c r="E30" s="102" t="str">
        <x:v>(4, 47)</x:v>
      </x:c>
      <x:c r="F30" s="102" t="str">
        <x:v>(4, 47)</x:v>
      </x:c>
      <x:c r="G30" s="102" t="str">
        <x:v>(4, 44)</x:v>
      </x:c>
      <x:c r="H30" s="102" t="str">
        <x:v>(4, 44)</x:v>
      </x:c>
      <x:c r="I30" s="102" t="str">
        <x:v>(4, 46)</x:v>
      </x:c>
      <x:c r="J30" s="102" t="str">
        <x:v>(3, 36)</x:v>
      </x:c>
      <x:c r="K30" s="102" t="str">
        <x:v>(3, 29)</x:v>
      </x:c>
      <x:c r="L30" s="102" t="str">
        <x:v>(2, 26)</x:v>
      </x:c>
      <x:c r="M30" s="103" t="n">
        <x:f>IFERROR(AVERAGE('Numeric Picks'!B28:H28),"NaN")</x:f>
        <x:v>3.7142857142857144</x:v>
      </x:c>
      <x:c r="N30" s="103" t="n">
        <x:f>IFERROR(AVERAGE('Numeric Picks'!J28:P28),"NaN")</x:f>
        <x:v>41.857142857142854</x:v>
      </x:c>
      <x:c r="O30" s="104" t="n">
        <x:f>COUNT('Numeric Picks'!J28:P28)</x:f>
        <x:v>7</x:v>
      </x:c>
      <x:c r="P30" s="122" t="str"/>
    </x:row>
    <x:row r="31">
      <x:c r="A31" s="100" t="str">
        <x:v>Sleepers</x:v>
      </x:c>
      <x:c r="B31" s="101" t="str">
        <x:v>Dejounte Murray</x:v>
      </x:c>
      <x:c r="C31" s="102" t="str">
        <x:v>NOP</x:v>
      </x:c>
      <x:c r="D31" s="102" t="str">
        <x:v>G</x:v>
      </x:c>
      <x:c r="E31" s="102" t="str">
        <x:v>(4, 43)</x:v>
      </x:c>
      <x:c r="F31" s="102" t="str">
        <x:v>(5, 67)</x:v>
      </x:c>
      <x:c r="G31" s="102" t="str">
        <x:v>(5, 67)</x:v>
      </x:c>
      <x:c r="H31" s="102" t="str">
        <x:v>(5, 67)</x:v>
      </x:c>
      <x:c r="I31" s="102" t="str">
        <x:v>(4, 55)</x:v>
      </x:c>
      <x:c r="J31" s="102" t="str">
        <x:v>(5, 67)</x:v>
      </x:c>
      <x:c r="K31" s="102" t="str">
        <x:v>(5, 58)</x:v>
      </x:c>
      <x:c r="L31" s="102" t="str">
        <x:v>(4, 62)</x:v>
      </x:c>
      <x:c r="M31" s="103" t="n">
        <x:f>IFERROR(AVERAGE('Numeric Picks'!B29:H29),"NaN")</x:f>
        <x:v>4.714285714285714</x:v>
      </x:c>
      <x:c r="N31" s="103" t="n">
        <x:f>IFERROR(AVERAGE('Numeric Picks'!J29:P29),"NaN")</x:f>
        <x:v>60.57142857142857</x:v>
      </x:c>
      <x:c r="O31" s="104" t="n">
        <x:f>COUNT('Numeric Picks'!J29:P29)</x:f>
        <x:v>7</x:v>
      </x:c>
      <x:c r="P31" s="122" t="str"/>
    </x:row>
    <x:row r="32">
      <x:c r="A32" s="100" t="str">
        <x:v>Sleepers</x:v>
      </x:c>
      <x:c r="B32" s="101" t="str">
        <x:v>Dyson Daniels</x:v>
      </x:c>
      <x:c r="C32" s="102" t="str">
        <x:v>ATL</x:v>
      </x:c>
      <x:c r="D32" s="102" t="str">
        <x:v>G</x:v>
      </x:c>
      <x:c r="E32" s="102" t="str">
        <x:v>(5, 64)</x:v>
      </x:c>
      <x:c r="F32" s="102" t="str">
        <x:v>(3, 41)</x:v>
      </x:c>
      <x:c r="G32" s="102" t="str">
        <x:v>(4, 54)</x:v>
      </x:c>
      <x:c r="H32" s="102" t="str">
        <x:v>(4, 54)</x:v>
      </x:c>
      <x:c r="I32" s="102" t="str">
        <x:v>(3, 42)</x:v>
      </x:c>
      <x:c r="J32" s="102" t="str">
        <x:v>(5, 69)</x:v>
      </x:c>
      <x:c r="K32" s="102" t="str">
        <x:v>(5, 69)</x:v>
      </x:c>
      <x:c r="L32" s="102" t="str">
        <x:v>(3, 34)</x:v>
      </x:c>
      <x:c r="M32" s="103" t="n">
        <x:f>IFERROR(AVERAGE('Numeric Picks'!B30:H30),"NaN")</x:f>
        <x:v>4.142857142857143</x:v>
      </x:c>
      <x:c r="N32" s="103" t="n">
        <x:f>IFERROR(AVERAGE('Numeric Picks'!J30:P30),"NaN")</x:f>
        <x:v>56.142857142857146</x:v>
      </x:c>
      <x:c r="O32" s="104" t="n">
        <x:f>COUNT('Numeric Picks'!J30:P30)</x:f>
        <x:v>7</x:v>
      </x:c>
      <x:c r="P32" s="122" t="str"/>
    </x:row>
    <x:row r="33">
      <x:c r="A33" s="100" t="str">
        <x:v>Sleepers</x:v>
      </x:c>
      <x:c r="B33" s="101" t="str">
        <x:v>Zach Edey</x:v>
      </x:c>
      <x:c r="C33" s="102" t="str">
        <x:v>MEM</x:v>
      </x:c>
      <x:c r="D33" s="102" t="str">
        <x:v>C</x:v>
      </x:c>
      <x:c r="E33" s="102" t="str">
        <x:v>(6, 79)</x:v>
      </x:c>
      <x:c r="F33" s="102" t="str">
        <x:v>(6, 80)</x:v>
      </x:c>
      <x:c r="G33" s="102" t="str">
        <x:v>(5, 70)</x:v>
      </x:c>
      <x:c r="H33" s="102" t="str">
        <x:v>(5, 70)</x:v>
      </x:c>
      <x:c r="I33" s="102" t="str">
        <x:v>(6, 76)</x:v>
      </x:c>
      <x:c r="J33" s="102" t="str">
        <x:v>(6, 73)</x:v>
      </x:c>
      <x:c r="K33" s="102" t="str">
        <x:v>(5, 61)</x:v>
      </x:c>
      <x:c r="L33" s="102" t="str">
        <x:v>(4, 63)</x:v>
      </x:c>
      <x:c r="M33" s="103" t="n">
        <x:f>IFERROR(AVERAGE('Numeric Picks'!B31:H31),"NaN")</x:f>
        <x:v>5.571428571428571</x:v>
      </x:c>
      <x:c r="N33" s="103" t="n">
        <x:f>IFERROR(AVERAGE('Numeric Picks'!J31:P31),"NaN")</x:f>
        <x:v>72.71428571428571</x:v>
      </x:c>
      <x:c r="O33" s="104" t="n">
        <x:f>COUNT('Numeric Picks'!J31:P31)</x:f>
        <x:v>7</x:v>
      </x:c>
      <x:c r="P33" s="122" t="str"/>
    </x:row>
    <x:row r="34">
      <x:c r="A34" s="100" t="str">
        <x:v>Sleepers</x:v>
      </x:c>
      <x:c r="B34" s="101" t="str">
        <x:v>Matas Buzelis</x:v>
      </x:c>
      <x:c r="C34" s="102" t="str">
        <x:v>CHI</x:v>
      </x:c>
      <x:c r="D34" s="102" t="str">
        <x:v>F</x:v>
      </x:c>
      <x:c r="E34" s="102" t="str">
        <x:v>(5, 59)</x:v>
      </x:c>
      <x:c r="F34" s="102" t="str">
        <x:v>(6, 75)</x:v>
      </x:c>
      <x:c r="G34" s="102" t="str">
        <x:v>(6, 81)</x:v>
      </x:c>
      <x:c r="H34" s="102" t="str">
        <x:v>(6, 81)</x:v>
      </x:c>
      <x:c r="I34" s="102" t="str">
        <x:v>(5, 67)</x:v>
      </x:c>
      <x:c r="J34" s="102" t="str">
        <x:v>(4, 44)</x:v>
      </x:c>
      <x:c r="K34" s="102" t="str">
        <x:v>(4, 56)</x:v>
      </x:c>
      <x:c r="L34" s="102" t="str">
        <x:v>(4, 51)</x:v>
      </x:c>
      <x:c r="M34" s="103" t="n">
        <x:f>IFERROR(AVERAGE('Numeric Picks'!B32:H32),"NaN")</x:f>
        <x:v>5.142857142857143</x:v>
      </x:c>
      <x:c r="N34" s="103" t="n">
        <x:f>IFERROR(AVERAGE('Numeric Picks'!J32:P32),"NaN")</x:f>
        <x:v>66.14285714285714</x:v>
      </x:c>
      <x:c r="O34" s="104" t="n">
        <x:f>COUNT('Numeric Picks'!J32:P32)</x:f>
        <x:v>7</x:v>
      </x:c>
      <x:c r="P34" s="122" t="str"/>
    </x:row>
    <x:row r="35">
      <x:c r="A35" s="100" t="str">
        <x:v>Sleepers</x:v>
      </x:c>
      <x:c r="B35" s="101" t="str">
        <x:v>Stephon Castle</x:v>
      </x:c>
      <x:c r="C35" s="102" t="str">
        <x:v>SAS</x:v>
      </x:c>
      <x:c r="D35" s="102" t="str">
        <x:v>G</x:v>
      </x:c>
      <x:c r="E35" s="102" t="str">
        <x:v>(7, 94)</x:v>
      </x:c>
      <x:c r="F35" s="102" t="str">
        <x:v>(5, 64)</x:v>
      </x:c>
      <x:c r="G35" s="102" t="str">
        <x:v>(5, 58)</x:v>
      </x:c>
      <x:c r="H35" s="102" t="str">
        <x:v>(5, 58)</x:v>
      </x:c>
      <x:c r="I35" s="102" t="str">
        <x:v>(5, 66)</x:v>
      </x:c>
      <x:c r="J35" s="102" t="str">
        <x:v>(5, 63)</x:v>
      </x:c>
      <x:c r="K35" s="102" t="str">
        <x:v>(5, 66)</x:v>
      </x:c>
      <x:c r="L35" s="102" t="str">
        <x:v>(5, 66)</x:v>
      </x:c>
      <x:c r="M35" s="103" t="n">
        <x:f>IFERROR(AVERAGE('Numeric Picks'!B33:H33),"NaN")</x:f>
        <x:v>5.285714285714286</x:v>
      </x:c>
      <x:c r="N35" s="103" t="n">
        <x:f>IFERROR(AVERAGE('Numeric Picks'!J33:P33),"NaN")</x:f>
        <x:v>67</x:v>
      </x:c>
      <x:c r="O35" s="104" t="n">
        <x:f>COUNT('Numeric Picks'!J33:P33)</x:f>
        <x:v>7</x:v>
      </x:c>
      <x:c r="P35" s="122" t="str"/>
    </x:row>
    <x:row r="36">
      <x:c r="A36" s="100" t="str">
        <x:v>Sleepers</x:v>
      </x:c>
      <x:c r="B36" s="101" t="str">
        <x:v>Julius Randle</x:v>
      </x:c>
      <x:c r="C36" s="102" t="str">
        <x:v>BKN</x:v>
      </x:c>
      <x:c r="D36" s="102" t="str">
        <x:v>F-C</x:v>
      </x:c>
      <x:c r="E36" s="102" t="str">
        <x:v>(5, 63)</x:v>
      </x:c>
      <x:c r="F36" s="102" t="str">
        <x:v>(5, 66)</x:v>
      </x:c>
      <x:c r="G36" s="102" t="str">
        <x:v>(5, 60)</x:v>
      </x:c>
      <x:c r="H36" s="102" t="str">
        <x:v>(5, 60)</x:v>
      </x:c>
      <x:c r="I36" s="102" t="str">
        <x:v>(4, 45)</x:v>
      </x:c>
      <x:c r="J36" s="102" t="str">
        <x:v>(5, 60)</x:v>
      </x:c>
      <x:c r="K36" s="102" t="str">
        <x:v>(6, 75)</x:v>
      </x:c>
      <x:c r="L36" s="102" t="str">
        <x:v>(5, 80)</x:v>
      </x:c>
      <x:c r="M36" s="103" t="n">
        <x:f>IFERROR(AVERAGE('Numeric Picks'!B34:H34),"NaN")</x:f>
        <x:v>5</x:v>
      </x:c>
      <x:c r="N36" s="103" t="n">
        <x:f>IFERROR(AVERAGE('Numeric Picks'!J34:P34),"NaN")</x:f>
        <x:v>61.285714285714285</x:v>
      </x:c>
      <x:c r="O36" s="104" t="n">
        <x:f>COUNT('Numeric Picks'!J34:P34)</x:f>
        <x:v>7</x:v>
      </x:c>
      <x:c r="P36" s="122" t="str"/>
    </x:row>
    <x:row r="37">
      <x:c r="A37" s="100" t="str">
        <x:v>Sleepers</x:v>
      </x:c>
      <x:c r="B37" s="101" t="str">
        <x:v>Rudy Gobert</x:v>
      </x:c>
      <x:c r="C37" s="102" t="str">
        <x:v>MIN</x:v>
      </x:c>
      <x:c r="D37" s="102" t="str">
        <x:v>C</x:v>
      </x:c>
      <x:c r="E37" s="102" t="str">
        <x:v>(6, 78)</x:v>
      </x:c>
      <x:c r="F37" s="102" t="str">
        <x:v>(7, 85)</x:v>
      </x:c>
      <x:c r="G37" s="102" t="str">
        <x:v>(5, 59)</x:v>
      </x:c>
      <x:c r="H37" s="102" t="str">
        <x:v>(5, 59)</x:v>
      </x:c>
      <x:c r="I37" s="102" t="str">
        <x:v>(5, 70)</x:v>
      </x:c>
      <x:c r="J37" s="102" t="str">
        <x:v>(6, 77)</x:v>
      </x:c>
      <x:c r="K37" s="102" t="str">
        <x:v>(6, 78)</x:v>
      </x:c>
      <x:c r="L37" s="102" t="str">
        <x:v>(5, 74)</x:v>
      </x:c>
      <x:c r="M37" s="103" t="n">
        <x:f>IFERROR(AVERAGE('Numeric Picks'!B35:H35),"NaN")</x:f>
        <x:v>5.714285714285714</x:v>
      </x:c>
      <x:c r="N37" s="103" t="n">
        <x:f>IFERROR(AVERAGE('Numeric Picks'!J35:P35),"NaN")</x:f>
        <x:v>72.28571428571429</x:v>
      </x:c>
      <x:c r="O37" s="104" t="n">
        <x:f>COUNT('Numeric Picks'!J35:P35)</x:f>
        <x:v>7</x:v>
      </x:c>
      <x:c r="P37" s="122" t="str"/>
    </x:row>
    <x:row r="38">
      <x:c r="A38" s="100" t="str">
        <x:v>Sleepers</x:v>
      </x:c>
      <x:c r="B38" s="101" t="str">
        <x:v>CJ McCollum</x:v>
      </x:c>
      <x:c r="C38" s="102" t="str">
        <x:v>ATL</x:v>
      </x:c>
      <x:c r="D38" s="102" t="str">
        <x:v>G</x:v>
      </x:c>
      <x:c r="E38" s="102" t="str">
        <x:v>(9, 119)</x:v>
      </x:c>
      <x:c r="F38" s="102" t="str">
        <x:v>(9, 126)</x:v>
      </x:c>
      <x:c r="G38" s="102" t="str">
        <x:v>(8, 109)</x:v>
      </x:c>
      <x:c r="H38" s="102" t="str">
        <x:v>(8, 109)</x:v>
      </x:c>
      <x:c r="I38" s="102" t="str">
        <x:v>(10, 135)</x:v>
      </x:c>
      <x:c r="J38" s="102" t="str">
        <x:v>(8, 109)</x:v>
      </x:c>
      <x:c r="K38" s="102" t="str">
        <x:v>(9, 120)</x:v>
      </x:c>
      <x:c r="L38" s="102" t="str">
        <x:v>(7, 108)</x:v>
      </x:c>
      <x:c r="M38" s="103" t="n">
        <x:f>IFERROR(AVERAGE('Numeric Picks'!B36:H36),"NaN")</x:f>
        <x:v>8.714285714285714</x:v>
      </x:c>
      <x:c r="N38" s="103" t="n">
        <x:f>IFERROR(AVERAGE('Numeric Picks'!J36:P36),"NaN")</x:f>
        <x:v>118.14285714285714</x:v>
      </x:c>
      <x:c r="O38" s="104" t="n">
        <x:f>COUNT('Numeric Picks'!J36:P36)</x:f>
        <x:v>7</x:v>
      </x:c>
      <x:c r="P38" s="122" t="str"/>
    </x:row>
    <x:row r="39">
      <x:c r="A39" s="100" t="str">
        <x:v>Sleepers</x:v>
      </x:c>
      <x:c r="B39" s="101" t="str">
        <x:v>Nic Claxton</x:v>
      </x:c>
      <x:c r="C39" s="102" t="str">
        <x:v>CHI</x:v>
      </x:c>
      <x:c r="D39" s="102" t="str">
        <x:v>C</x:v>
      </x:c>
      <x:c r="E39" s="102" t="str">
        <x:v>(7, 93)</x:v>
      </x:c>
      <x:c r="F39" s="102" t="str">
        <x:v>(7, 94)</x:v>
      </x:c>
      <x:c r="G39" s="102" t="str">
        <x:v>(7, 87)</x:v>
      </x:c>
      <x:c r="H39" s="102" t="str">
        <x:v>(7, 87)</x:v>
      </x:c>
      <x:c r="I39" s="102" t="str">
        <x:v>(8, 106)</x:v>
      </x:c>
      <x:c r="J39" s="102" t="str">
        <x:v>(7, 98)</x:v>
      </x:c>
      <x:c r="K39" s="102" t="str">
        <x:v>(7, 94)</x:v>
      </x:c>
      <x:c r="L39" s="102" t="str">
        <x:v>(5, 75)</x:v>
      </x:c>
      <x:c r="M39" s="103" t="n">
        <x:f>IFERROR(AVERAGE('Numeric Picks'!B37:H37),"NaN")</x:f>
        <x:v>7.142857142857143</x:v>
      </x:c>
      <x:c r="N39" s="103" t="n">
        <x:f>IFERROR(AVERAGE('Numeric Picks'!J37:P37),"NaN")</x:f>
        <x:v>94.14285714285714</x:v>
      </x:c>
      <x:c r="O39" s="104" t="n">
        <x:f>COUNT('Numeric Picks'!J37:P37)</x:f>
        <x:v>7</x:v>
      </x:c>
      <x:c r="P39" s="122" t="str"/>
    </x:row>
  </x:sheetData>
  <x:mergeCells>
    <x:mergeCell ref="A1:P1"/>
    <x:mergeCell ref="A2:P2"/>
  </x:mergeCells>
  <x:conditionalFormatting sqref="N4:N39">
    <x:cfRule type="colorScale" priority="1">
      <x:colorScale>
        <x:cfvo type="min"/>
        <x:cfvo type="percentile" val="50"/>
        <x:cfvo type="max"/>
        <x:color rgb="FFDDF4E7"/>
        <x:color rgb="FFFFF2CC"/>
        <x:color rgb="FFF6D6D6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9e04452ffe3492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>
      <x:c r="A1" s="28" t="str">
        <x:v>Player</x:v>
      </x:c>
      <x:c r="B1" s="28" t="str">
        <x:v>Round — 2026-09-09</x:v>
      </x:c>
      <x:c r="C1" s="28" t="str">
        <x:v>Round — 2026-09-13 A</x:v>
      </x:c>
      <x:c r="D1" s="28" t="str">
        <x:v>Round — 2026-09-13 B</x:v>
      </x:c>
      <x:c r="E1" s="28" t="str">
        <x:v>Round — 2026-09-14 A</x:v>
      </x:c>
      <x:c r="F1" s="28" t="str">
        <x:v>Round — 2026-09-14 B</x:v>
      </x:c>
      <x:c r="G1" s="28" t="str">
        <x:v>Round — 2026-09-15</x:v>
      </x:c>
      <x:c r="H1" s="28" t="str">
        <x:v>Round — 2026-09-30</x:v>
      </x:c>
      <x:c r="I1" s="28" t="str">
        <x:v>Spacer</x:v>
      </x:c>
      <x:c r="J1" s="28" t="str">
        <x:v>Pick — 2026-09-09</x:v>
      </x:c>
      <x:c r="K1" s="28" t="str">
        <x:v>Pick — 2026-09-13 A</x:v>
      </x:c>
      <x:c r="L1" s="28" t="str">
        <x:v>Pick — 2026-09-13 B</x:v>
      </x:c>
      <x:c r="M1" s="28" t="str">
        <x:v>Pick — 2026-09-14 A</x:v>
      </x:c>
      <x:c r="N1" s="28" t="str">
        <x:v>Pick — 2026-09-14 B</x:v>
      </x:c>
      <x:c r="O1" s="28" t="str">
        <x:v>Pick — 2026-09-15</x:v>
      </x:c>
      <x:c r="P1" s="28" t="str">
        <x:v>Pick — 2026-09-30</x:v>
      </x:c>
      <x:c r="Q1" s="28" t="str">
        <x:v>Diag Round</x:v>
      </x:c>
      <x:c r="R1" s="28" t="str">
        <x:v>Diag Pick</x:v>
      </x:c>
    </x:row>
    <x:row r="2">
      <x:c r="A2" t="str">
        <x:v>Keegan Murray</x:v>
      </x:c>
      <x:c r="B2" t="n">
        <x:v>10</x:v>
      </x:c>
      <x:c r="C2" t="n">
        <x:v>10</x:v>
      </x:c>
      <x:c r="D2" t="n">
        <x:v>9</x:v>
      </x:c>
      <x:c r="E2" t="n">
        <x:v>9</x:v>
      </x:c>
      <x:c r="F2" t="n">
        <x:v>9</x:v>
      </x:c>
      <x:c r="G2" t="n">
        <x:v>9</x:v>
      </x:c>
      <x:c r="H2" t="n">
        <x:v>9</x:v>
      </x:c>
      <x:c r="I2"/>
      <x:c r="J2" t="n">
        <x:v>135</x:v>
      </x:c>
      <x:c r="K2" t="n">
        <x:v>127</x:v>
      </x:c>
      <x:c r="L2" t="n">
        <x:v>123</x:v>
      </x:c>
      <x:c r="M2" t="n">
        <x:v>123</x:v>
      </x:c>
      <x:c r="N2" t="n">
        <x:v>125</x:v>
      </x:c>
      <x:c r="O2" t="n">
        <x:v>122</x:v>
      </x:c>
      <x:c r="P2" t="n">
        <x:v>116</x:v>
      </x:c>
      <x:c r="Q2" t="n">
        <x:v>8</x:v>
      </x:c>
      <x:c r="R2" t="n">
        <x:v>117</x:v>
      </x:c>
    </x:row>
    <x:row r="3">
      <x:c r="A3" t="str">
        <x:v>Isaiah Collier</x:v>
      </x:c>
      <x:c r="B3" t="n">
        <x:v>9</x:v>
      </x:c>
      <x:c r="C3" t="n">
        <x:v>13</x:v>
      </x:c>
      <x:c r="D3" t="n">
        <x:v>13</x:v>
      </x:c>
      <x:c r="E3" t="n">
        <x:v>13</x:v>
      </x:c>
      <x:c r="F3" t="n">
        <x:v>13</x:v>
      </x:c>
      <x:c r="G3" t="n">
        <x:v>12</x:v>
      </x:c>
      <x:c r="H3"/>
      <x:c r="I3"/>
      <x:c r="J3" t="n">
        <x:v>123</x:v>
      </x:c>
      <x:c r="K3" t="n">
        <x:v>175</x:v>
      </x:c>
      <x:c r="L3" t="n">
        <x:v>173</x:v>
      </x:c>
      <x:c r="M3" t="n">
        <x:v>173</x:v>
      </x:c>
      <x:c r="N3" t="n">
        <x:v>177</x:v>
      </x:c>
      <x:c r="O3" t="n">
        <x:v>167</x:v>
      </x:c>
      <x:c r="P3"/>
      <x:c r="Q3"/>
      <x:c r="R3"/>
    </x:row>
    <x:row r="4">
      <x:c r="A4" t="str">
        <x:v>Ace Bailey</x:v>
      </x:c>
      <x:c r="B4" t="n">
        <x:v>11</x:v>
      </x:c>
      <x:c r="C4" t="n">
        <x:v>12</x:v>
      </x:c>
      <x:c r="D4" t="n">
        <x:v>12</x:v>
      </x:c>
      <x:c r="E4" t="n">
        <x:v>12</x:v>
      </x:c>
      <x:c r="F4" t="n">
        <x:v>12</x:v>
      </x:c>
      <x:c r="G4" t="n">
        <x:v>12</x:v>
      </x:c>
      <x:c r="H4" t="n">
        <x:v>11</x:v>
      </x:c>
      <x:c r="I4"/>
      <x:c r="J4" t="n">
        <x:v>152</x:v>
      </x:c>
      <x:c r="K4" t="n">
        <x:v>167</x:v>
      </x:c>
      <x:c r="L4" t="n">
        <x:v>157</x:v>
      </x:c>
      <x:c r="M4" t="n">
        <x:v>157</x:v>
      </x:c>
      <x:c r="N4" t="n">
        <x:v>167</x:v>
      </x:c>
      <x:c r="O4" t="n">
        <x:v>159</x:v>
      </x:c>
      <x:c r="P4" t="n">
        <x:v>152</x:v>
      </x:c>
      <x:c r="Q4" t="n">
        <x:v>9</x:v>
      </x:c>
      <x:c r="R4" t="n">
        <x:v>138</x:v>
      </x:c>
    </x:row>
    <x:row r="5">
      <x:c r="A5" t="str">
        <x:v>Collin Murray-Boyles</x:v>
      </x:c>
      <x:c r="B5" t="n">
        <x:v>9</x:v>
      </x:c>
      <x:c r="C5" t="n">
        <x:v>10</x:v>
      </x:c>
      <x:c r="D5" t="n">
        <x:v>10</x:v>
      </x:c>
      <x:c r="E5" t="n">
        <x:v>10</x:v>
      </x:c>
      <x:c r="F5" t="n">
        <x:v>8</x:v>
      </x:c>
      <x:c r="G5" t="n">
        <x:v>10</x:v>
      </x:c>
      <x:c r="H5" t="n">
        <x:v>9</x:v>
      </x:c>
      <x:c r="I5"/>
      <x:c r="J5" t="n">
        <x:v>121</x:v>
      </x:c>
      <x:c r="K5" t="n">
        <x:v>137</x:v>
      </x:c>
      <x:c r="L5" t="n">
        <x:v>130</x:v>
      </x:c>
      <x:c r="M5" t="n">
        <x:v>130</x:v>
      </x:c>
      <x:c r="N5" t="n">
        <x:v>99</x:v>
      </x:c>
      <x:c r="O5" t="n">
        <x:v>127</x:v>
      </x:c>
      <x:c r="P5" t="n">
        <x:v>113</x:v>
      </x:c>
      <x:c r="Q5" t="n">
        <x:v>7</x:v>
      </x:c>
      <x:c r="R5" t="n">
        <x:v>107</x:v>
      </x:c>
    </x:row>
    <x:row r="6">
      <x:c r="A6" t="str">
        <x:v>Jeremiah Fears</x:v>
      </x:c>
      <x:c r="B6" t="n">
        <x:v>12</x:v>
      </x:c>
      <x:c r="C6" t="n">
        <x:v>13</x:v>
      </x:c>
      <x:c r="D6" t="n">
        <x:v>12</x:v>
      </x:c>
      <x:c r="E6" t="n">
        <x:v>12</x:v>
      </x:c>
      <x:c r="F6" t="n">
        <x:v>10</x:v>
      </x:c>
      <x:c r="G6" t="n">
        <x:v>12</x:v>
      </x:c>
      <x:c r="H6" t="n">
        <x:v>11</x:v>
      </x:c>
      <x:c r="I6"/>
      <x:c r="J6" t="n">
        <x:v>157</x:v>
      </x:c>
      <x:c r="K6" t="n">
        <x:v>172</x:v>
      </x:c>
      <x:c r="L6" t="n">
        <x:v>159</x:v>
      </x:c>
      <x:c r="M6" t="n">
        <x:v>159</x:v>
      </x:c>
      <x:c r="N6" t="n">
        <x:v>130</x:v>
      </x:c>
      <x:c r="O6" t="n">
        <x:v>155</x:v>
      </x:c>
      <x:c r="P6" t="n">
        <x:v>146</x:v>
      </x:c>
      <x:c r="Q6" t="n">
        <x:v>9</x:v>
      </x:c>
      <x:c r="R6" t="n">
        <x:v>137</x:v>
      </x:c>
    </x:row>
    <x:row r="7">
      <x:c r="A7" t="str">
        <x:v>Yves Missi</x:v>
      </x:c>
      <x:c r="B7" t="n">
        <x:v>12</x:v>
      </x:c>
      <x:c r="C7"/>
      <x:c r="D7"/>
      <x:c r="E7"/>
      <x:c r="F7"/>
      <x:c r="G7"/>
      <x:c r="H7" t="n">
        <x:v>12</x:v>
      </x:c>
      <x:c r="I7"/>
      <x:c r="J7" t="n">
        <x:v>158</x:v>
      </x:c>
      <x:c r="K7"/>
      <x:c r="L7"/>
      <x:c r="M7"/>
      <x:c r="N7"/>
      <x:c r="O7"/>
      <x:c r="P7" t="n">
        <x:v>168</x:v>
      </x:c>
      <x:c r="Q7" t="n">
        <x:v>10</x:v>
      </x:c>
      <x:c r="R7" t="n">
        <x:v>146</x:v>
      </x:c>
    </x:row>
    <x:row r="8">
      <x:c r="A8" t="str">
        <x:v>Brandin Podziemski</x:v>
      </x:c>
      <x:c r="B8" t="n">
        <x:v>9</x:v>
      </x:c>
      <x:c r="C8" t="n">
        <x:v>9</x:v>
      </x:c>
      <x:c r="D8" t="n">
        <x:v>9</x:v>
      </x:c>
      <x:c r="E8" t="n">
        <x:v>9</x:v>
      </x:c>
      <x:c r="F8" t="n">
        <x:v>9</x:v>
      </x:c>
      <x:c r="G8" t="n">
        <x:v>9</x:v>
      </x:c>
      <x:c r="H8" t="n">
        <x:v>8</x:v>
      </x:c>
      <x:c r="I8"/>
      <x:c r="J8" t="n">
        <x:v>113</x:v>
      </x:c>
      <x:c r="K8" t="n">
        <x:v>117</x:v>
      </x:c>
      <x:c r="L8" t="n">
        <x:v>113</x:v>
      </x:c>
      <x:c r="M8" t="n">
        <x:v>113</x:v>
      </x:c>
      <x:c r="N8" t="n">
        <x:v>120</x:v>
      </x:c>
      <x:c r="O8" t="n">
        <x:v>119</x:v>
      </x:c>
      <x:c r="P8" t="n">
        <x:v>107</x:v>
      </x:c>
      <x:c r="Q8" t="n">
        <x:v>7</x:v>
      </x:c>
      <x:c r="R8" t="n">
        <x:v>103</x:v>
      </x:c>
    </x:row>
    <x:row r="9">
      <x:c r="A9" t="str">
        <x:v>Jalen Green</x:v>
      </x:c>
      <x:c r="B9" t="n">
        <x:v>10</x:v>
      </x:c>
      <x:c r="C9" t="n">
        <x:v>9</x:v>
      </x:c>
      <x:c r="D9" t="n">
        <x:v>7</x:v>
      </x:c>
      <x:c r="E9" t="n">
        <x:v>7</x:v>
      </x:c>
      <x:c r="F9" t="n">
        <x:v>9</x:v>
      </x:c>
      <x:c r="G9" t="n">
        <x:v>9</x:v>
      </x:c>
      <x:c r="H9" t="n">
        <x:v>8</x:v>
      </x:c>
      <x:c r="I9"/>
      <x:c r="J9" t="n">
        <x:v>127</x:v>
      </x:c>
      <x:c r="K9" t="n">
        <x:v>121</x:v>
      </x:c>
      <x:c r="L9" t="n">
        <x:v>91</x:v>
      </x:c>
      <x:c r="M9" t="n">
        <x:v>91</x:v>
      </x:c>
      <x:c r="N9" t="n">
        <x:v>117</x:v>
      </x:c>
      <x:c r="O9" t="n">
        <x:v>124</x:v>
      </x:c>
      <x:c r="P9" t="n">
        <x:v>102</x:v>
      </x:c>
      <x:c r="Q9" t="n">
        <x:v>8</x:v>
      </x:c>
      <x:c r="R9" t="n">
        <x:v>123</x:v>
      </x:c>
    </x:row>
    <x:row r="10">
      <x:c r="A10" t="str">
        <x:v>Ajay Mitchell</x:v>
      </x:c>
      <x:c r="B10" t="n">
        <x:v>10</x:v>
      </x:c>
      <x:c r="C10" t="n">
        <x:v>12</x:v>
      </x:c>
      <x:c r="D10" t="n">
        <x:v>10</x:v>
      </x:c>
      <x:c r="E10" t="n">
        <x:v>10</x:v>
      </x:c>
      <x:c r="F10" t="n">
        <x:v>12</x:v>
      </x:c>
      <x:c r="G10" t="n">
        <x:v>9</x:v>
      </x:c>
      <x:c r="H10" t="n">
        <x:v>10</x:v>
      </x:c>
      <x:c r="I10"/>
      <x:c r="J10" t="n">
        <x:v>136</x:v>
      </x:c>
      <x:c r="K10" t="n">
        <x:v>162</x:v>
      </x:c>
      <x:c r="L10" t="n">
        <x:v>139</x:v>
      </x:c>
      <x:c r="M10" t="n">
        <x:v>139</x:v>
      </x:c>
      <x:c r="N10" t="n">
        <x:v>160</x:v>
      </x:c>
      <x:c r="O10" t="n">
        <x:v>123</x:v>
      </x:c>
      <x:c r="P10" t="n">
        <x:v>139</x:v>
      </x:c>
      <x:c r="Q10" t="n">
        <x:v>10</x:v>
      </x:c>
      <x:c r="R10" t="n">
        <x:v>156</x:v>
      </x:c>
    </x:row>
    <x:row r="11">
      <x:c r="A11" t="str">
        <x:v>Egor Dëmin</x:v>
      </x:c>
      <x:c r="B11" t="n">
        <x:v>11</x:v>
      </x:c>
      <x:c r="C11" t="n">
        <x:v>10</x:v>
      </x:c>
      <x:c r="D11" t="n">
        <x:v>11</x:v>
      </x:c>
      <x:c r="E11" t="n">
        <x:v>11</x:v>
      </x:c>
      <x:c r="F11" t="n">
        <x:v>11</x:v>
      </x:c>
      <x:c r="G11" t="n">
        <x:v>11</x:v>
      </x:c>
      <x:c r="H11" t="n">
        <x:v>12</x:v>
      </x:c>
      <x:c r="I11"/>
      <x:c r="J11" t="n">
        <x:v>142</x:v>
      </x:c>
      <x:c r="K11" t="n">
        <x:v>140</x:v>
      </x:c>
      <x:c r="L11" t="n">
        <x:v>141</x:v>
      </x:c>
      <x:c r="M11" t="n">
        <x:v>141</x:v>
      </x:c>
      <x:c r="N11" t="n">
        <x:v>149</x:v>
      </x:c>
      <x:c r="O11" t="n">
        <x:v>143</x:v>
      </x:c>
      <x:c r="P11" t="n">
        <x:v>166</x:v>
      </x:c>
      <x:c r="Q11" t="n">
        <x:v>10</x:v>
      </x:c>
      <x:c r="R11" t="n">
        <x:v>145</x:v>
      </x:c>
    </x:row>
    <x:row r="12">
      <x:c r="A12" t="str">
        <x:v>Khaman Maluach</x:v>
      </x:c>
      <x:c r="B12" t="n">
        <x:v>12</x:v>
      </x:c>
      <x:c r="C12" t="n">
        <x:v>9</x:v>
      </x:c>
      <x:c r="D12" t="n">
        <x:v>13</x:v>
      </x:c>
      <x:c r="E12" t="n">
        <x:v>13</x:v>
      </x:c>
      <x:c r="F12" t="n">
        <x:v>12</x:v>
      </x:c>
      <x:c r="G12" t="n">
        <x:v>11</x:v>
      </x:c>
      <x:c r="H12" t="n">
        <x:v>7</x:v>
      </x:c>
      <x:c r="I12"/>
      <x:c r="J12" t="n">
        <x:v>164</x:v>
      </x:c>
      <x:c r="K12" t="n">
        <x:v>113</x:v>
      </x:c>
      <x:c r="L12" t="n">
        <x:v>177</x:v>
      </x:c>
      <x:c r="M12" t="n">
        <x:v>177</x:v>
      </x:c>
      <x:c r="N12" t="n">
        <x:v>156</x:v>
      </x:c>
      <x:c r="O12" t="n">
        <x:v>154</x:v>
      </x:c>
      <x:c r="P12" t="n">
        <x:v>98</x:v>
      </x:c>
      <x:c r="Q12" t="n">
        <x:v>7</x:v>
      </x:c>
      <x:c r="R12" t="n">
        <x:v>102</x:v>
      </x:c>
    </x:row>
    <x:row r="13">
      <x:c r="A13" t="str">
        <x:v>Baylor Scheierman</x:v>
      </x:c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</x:row>
    <x:row r="14">
      <x:c r="A14" t="str">
        <x:v>Grayson Allen</x:v>
      </x:c>
      <x:c r="B14" t="n">
        <x:v>13</x:v>
      </x:c>
      <x:c r="C14" t="n">
        <x:v>13</x:v>
      </x:c>
      <x:c r="D14" t="n">
        <x:v>13</x:v>
      </x:c>
      <x:c r="E14" t="n">
        <x:v>13</x:v>
      </x:c>
      <x:c r="F14" t="n">
        <x:v>13</x:v>
      </x:c>
      <x:c r="G14" t="n">
        <x:v>13</x:v>
      </x:c>
      <x:c r="H14" t="n">
        <x:v>12</x:v>
      </x:c>
      <x:c r="I14"/>
      <x:c r="J14" t="n">
        <x:v>174</x:v>
      </x:c>
      <x:c r="K14" t="n">
        <x:v>176</x:v>
      </x:c>
      <x:c r="L14" t="n">
        <x:v>178</x:v>
      </x:c>
      <x:c r="M14" t="n">
        <x:v>178</x:v>
      </x:c>
      <x:c r="N14" t="n">
        <x:v>172</x:v>
      </x:c>
      <x:c r="O14" t="n">
        <x:v>173</x:v>
      </x:c>
      <x:c r="P14" t="n">
        <x:v>162</x:v>
      </x:c>
      <x:c r="Q14" t="n">
        <x:v>12</x:v>
      </x:c>
      <x:c r="R14" t="n">
        <x:v>182</x:v>
      </x:c>
    </x:row>
    <x:row r="15">
      <x:c r="A15" t="str">
        <x:v>Moussa Diabaté</x:v>
      </x:c>
      <x:c r="B15" t="n">
        <x:v>12</x:v>
      </x:c>
      <x:c r="C15"/>
      <x:c r="D15"/>
      <x:c r="E15"/>
      <x:c r="F15"/>
      <x:c r="G15" t="n">
        <x:v>13</x:v>
      </x:c>
      <x:c r="H15" t="n">
        <x:v>11</x:v>
      </x:c>
      <x:c r="I15"/>
      <x:c r="J15" t="n">
        <x:v>156</x:v>
      </x:c>
      <x:c r="K15"/>
      <x:c r="L15"/>
      <x:c r="M15"/>
      <x:c r="N15"/>
      <x:c r="O15" t="n">
        <x:v>178</x:v>
      </x:c>
      <x:c r="P15" t="n">
        <x:v>153</x:v>
      </x:c>
      <x:c r="Q15" t="n">
        <x:v>9</x:v>
      </x:c>
      <x:c r="R15" t="n">
        <x:v>136</x:v>
      </x:c>
    </x:row>
    <x:row r="16">
      <x:c r="A16" t="str">
        <x:v>De'Anthony Melton</x:v>
      </x:c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 t="n">
        <x:v>15</x:v>
      </x:c>
      <x:c r="R16" t="n">
        <x:v>231</x:v>
      </x:c>
    </x:row>
    <x:row r="17">
      <x:c r="A17" t="str">
        <x:v>Max Strus</x:v>
      </x:c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</x:row>
    <x:row r="18">
      <x:c r="A18" t="str">
        <x:v>Quentin Grimes</x:v>
      </x:c>
      <x:c r="B18" t="n">
        <x:v>9</x:v>
      </x:c>
      <x:c r="C18" t="n">
        <x:v>11</x:v>
      </x:c>
      <x:c r="D18" t="n">
        <x:v>11</x:v>
      </x:c>
      <x:c r="E18" t="n">
        <x:v>11</x:v>
      </x:c>
      <x:c r="F18" t="n">
        <x:v>12</x:v>
      </x:c>
      <x:c r="G18" t="n">
        <x:v>8</x:v>
      </x:c>
      <x:c r="H18" t="n">
        <x:v>11</x:v>
      </x:c>
      <x:c r="I18"/>
      <x:c r="J18" t="n">
        <x:v>124</x:v>
      </x:c>
      <x:c r="K18" t="n">
        <x:v>152</x:v>
      </x:c>
      <x:c r="L18" t="n">
        <x:v>148</x:v>
      </x:c>
      <x:c r="M18" t="n">
        <x:v>148</x:v>
      </x:c>
      <x:c r="N18" t="n">
        <x:v>159</x:v>
      </x:c>
      <x:c r="O18" t="n">
        <x:v>101</x:v>
      </x:c>
      <x:c r="P18" t="n">
        <x:v>151</x:v>
      </x:c>
      <x:c r="Q18" t="n">
        <x:v>9</x:v>
      </x:c>
      <x:c r="R18" t="n">
        <x:v>134</x:v>
      </x:c>
    </x:row>
    <x:row r="19">
      <x:c r="A19" t="str">
        <x:v>Cedric Coward</x:v>
      </x:c>
      <x:c r="B19" t="n">
        <x:v>8</x:v>
      </x:c>
      <x:c r="C19" t="n">
        <x:v>8</x:v>
      </x:c>
      <x:c r="D19" t="n">
        <x:v>9</x:v>
      </x:c>
      <x:c r="E19" t="n">
        <x:v>9</x:v>
      </x:c>
      <x:c r="F19" t="n">
        <x:v>8</x:v>
      </x:c>
      <x:c r="G19" t="n">
        <x:v>8</x:v>
      </x:c>
      <x:c r="H19" t="n">
        <x:v>7</x:v>
      </x:c>
      <x:c r="I19"/>
      <x:c r="J19" t="n">
        <x:v>108</x:v>
      </x:c>
      <x:c r="K19" t="n">
        <x:v>99</x:v>
      </x:c>
      <x:c r="L19" t="n">
        <x:v>114</x:v>
      </x:c>
      <x:c r="M19" t="n">
        <x:v>114</x:v>
      </x:c>
      <x:c r="N19" t="n">
        <x:v>103</x:v>
      </x:c>
      <x:c r="O19" t="n">
        <x:v>99</x:v>
      </x:c>
      <x:c r="P19" t="n">
        <x:v>91</x:v>
      </x:c>
      <x:c r="Q19" t="n">
        <x:v>6</x:v>
      </x:c>
      <x:c r="R19" t="n">
        <x:v>96</x:v>
      </x:c>
    </x:row>
    <x:row r="20">
      <x:c r="A20" t="str">
        <x:v>Pelle Larsson</x:v>
      </x:c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 t="n">
        <x:v>11</x:v>
      </x:c>
      <x:c r="R20" t="n">
        <x:v>164</x:v>
      </x:c>
    </x:row>
    <x:row r="21">
      <x:c r="A21" t="str">
        <x:v>Myles Turner</x:v>
      </x:c>
      <x:c r="B21" t="n">
        <x:v>7</x:v>
      </x:c>
      <x:c r="C21" t="n">
        <x:v>8</x:v>
      </x:c>
      <x:c r="D21" t="n">
        <x:v>7</x:v>
      </x:c>
      <x:c r="E21" t="n">
        <x:v>7</x:v>
      </x:c>
      <x:c r="F21" t="n">
        <x:v>8</x:v>
      </x:c>
      <x:c r="G21" t="n">
        <x:v>8</x:v>
      </x:c>
      <x:c r="H21" t="n">
        <x:v>8</x:v>
      </x:c>
      <x:c r="I21"/>
      <x:c r="J21" t="n">
        <x:v>92</x:v>
      </x:c>
      <x:c r="K21" t="n">
        <x:v>106</x:v>
      </x:c>
      <x:c r="L21" t="n">
        <x:v>98</x:v>
      </x:c>
      <x:c r="M21" t="n">
        <x:v>98</x:v>
      </x:c>
      <x:c r="N21" t="n">
        <x:v>102</x:v>
      </x:c>
      <x:c r="O21" t="n">
        <x:v>102</x:v>
      </x:c>
      <x:c r="P21" t="n">
        <x:v>106</x:v>
      </x:c>
      <x:c r="Q21" t="n">
        <x:v>7</x:v>
      </x:c>
      <x:c r="R21" t="n">
        <x:v>106</x:v>
      </x:c>
    </x:row>
    <x:row r="22">
      <x:c r="A22" t="str">
        <x:v>Jalen Suggs</x:v>
      </x:c>
      <x:c r="B22" t="n">
        <x:v>8</x:v>
      </x:c>
      <x:c r="C22" t="n">
        <x:v>8</x:v>
      </x:c>
      <x:c r="D22" t="n">
        <x:v>8</x:v>
      </x:c>
      <x:c r="E22" t="n">
        <x:v>8</x:v>
      </x:c>
      <x:c r="F22" t="n">
        <x:v>8</x:v>
      </x:c>
      <x:c r="G22" t="n">
        <x:v>9</x:v>
      </x:c>
      <x:c r="H22" t="n">
        <x:v>8</x:v>
      </x:c>
      <x:c r="I22"/>
      <x:c r="J22" t="n">
        <x:v>104</x:v>
      </x:c>
      <x:c r="K22" t="n">
        <x:v>104</x:v>
      </x:c>
      <x:c r="L22" t="n">
        <x:v>108</x:v>
      </x:c>
      <x:c r="M22" t="n">
        <x:v>108</x:v>
      </x:c>
      <x:c r="N22" t="n">
        <x:v>109</x:v>
      </x:c>
      <x:c r="O22" t="n">
        <x:v>114</x:v>
      </x:c>
      <x:c r="P22" t="n">
        <x:v>108</x:v>
      </x:c>
      <x:c r="Q22" t="n">
        <x:v>8</x:v>
      </x:c>
      <x:c r="R22" t="n">
        <x:v>113</x:v>
      </x:c>
    </x:row>
    <x:row r="23">
      <x:c r="A23" t="str">
        <x:v>Collin Gillespie</x:v>
      </x:c>
      <x:c r="B23" t="n">
        <x:v>10</x:v>
      </x:c>
      <x:c r="C23" t="n">
        <x:v>10</x:v>
      </x:c>
      <x:c r="D23" t="n">
        <x:v>9</x:v>
      </x:c>
      <x:c r="E23" t="n">
        <x:v>9</x:v>
      </x:c>
      <x:c r="F23" t="n">
        <x:v>11</x:v>
      </x:c>
      <x:c r="G23" t="n">
        <x:v>11</x:v>
      </x:c>
      <x:c r="H23" t="n">
        <x:v>11</x:v>
      </x:c>
      <x:c r="I23"/>
      <x:c r="J23" t="n">
        <x:v>133</x:v>
      </x:c>
      <x:c r="K23" t="n">
        <x:v>138</x:v>
      </x:c>
      <x:c r="L23" t="n">
        <x:v>117</x:v>
      </x:c>
      <x:c r="M23" t="n">
        <x:v>117</x:v>
      </x:c>
      <x:c r="N23" t="n">
        <x:v>147</x:v>
      </x:c>
      <x:c r="O23" t="n">
        <x:v>141</x:v>
      </x:c>
      <x:c r="P23" t="n">
        <x:v>144</x:v>
      </x:c>
      <x:c r="Q23" t="n">
        <x:v>10</x:v>
      </x:c>
      <x:c r="R23" t="n">
        <x:v>147</x:v>
      </x:c>
    </x:row>
    <x:row r="24">
      <x:c r="A24" t="str">
        <x:v>Domantas Sabonis</x:v>
      </x:c>
      <x:c r="B24" t="n">
        <x:v>4</x:v>
      </x:c>
      <x:c r="C24" t="n">
        <x:v>1</x:v>
      </x:c>
      <x:c r="D24" t="n">
        <x:v>3</x:v>
      </x:c>
      <x:c r="E24" t="n">
        <x:v>3</x:v>
      </x:c>
      <x:c r="F24" t="n">
        <x:v>4</x:v>
      </x:c>
      <x:c r="G24" t="n">
        <x:v>3</x:v>
      </x:c>
      <x:c r="H24" t="n">
        <x:v>3</x:v>
      </x:c>
      <x:c r="I24"/>
      <x:c r="J24" t="n">
        <x:v>44</x:v>
      </x:c>
      <x:c r="K24" t="n">
        <x:v>13</x:v>
      </x:c>
      <x:c r="L24" t="n">
        <x:v>35</x:v>
      </x:c>
      <x:c r="M24" t="n">
        <x:v>35</x:v>
      </x:c>
      <x:c r="N24" t="n">
        <x:v>47</x:v>
      </x:c>
      <x:c r="O24" t="n">
        <x:v>38</x:v>
      </x:c>
      <x:c r="P24" t="n">
        <x:v>31</x:v>
      </x:c>
      <x:c r="Q24" t="n">
        <x:v>2</x:v>
      </x:c>
      <x:c r="R24" t="n">
        <x:v>23</x:v>
      </x:c>
    </x:row>
    <x:row r="25">
      <x:c r="A25" t="str">
        <x:v>Josh Giddey</x:v>
      </x:c>
      <x:c r="B25" t="n">
        <x:v>2</x:v>
      </x:c>
      <x:c r="C25" t="n">
        <x:v>2</x:v>
      </x:c>
      <x:c r="D25" t="n">
        <x:v>2</x:v>
      </x:c>
      <x:c r="E25" t="n">
        <x:v>2</x:v>
      </x:c>
      <x:c r="F25" t="n">
        <x:v>2</x:v>
      </x:c>
      <x:c r="G25" t="n">
        <x:v>2</x:v>
      </x:c>
      <x:c r="H25" t="n">
        <x:v>1</x:v>
      </x:c>
      <x:c r="I25"/>
      <x:c r="J25" t="n">
        <x:v>28</x:v>
      </x:c>
      <x:c r="K25" t="n">
        <x:v>28</x:v>
      </x:c>
      <x:c r="L25" t="n">
        <x:v>26</x:v>
      </x:c>
      <x:c r="M25" t="n">
        <x:v>26</x:v>
      </x:c>
      <x:c r="N25" t="n">
        <x:v>17</x:v>
      </x:c>
      <x:c r="O25" t="n">
        <x:v>24</x:v>
      </x:c>
      <x:c r="P25" t="n">
        <x:v>13</x:v>
      </x:c>
      <x:c r="Q25" t="n">
        <x:v>2</x:v>
      </x:c>
      <x:c r="R25" t="n">
        <x:v>19</x:v>
      </x:c>
    </x:row>
    <x:row r="26">
      <x:c r="A26" t="str">
        <x:v>Paolo Banchero</x:v>
      </x:c>
      <x:c r="B26" t="n">
        <x:v>3</x:v>
      </x:c>
      <x:c r="C26" t="n">
        <x:v>4</x:v>
      </x:c>
      <x:c r="D26" t="n">
        <x:v>4</x:v>
      </x:c>
      <x:c r="E26" t="n">
        <x:v>4</x:v>
      </x:c>
      <x:c r="F26" t="n">
        <x:v>4</x:v>
      </x:c>
      <x:c r="G26" t="n">
        <x:v>4</x:v>
      </x:c>
      <x:c r="H26" t="n">
        <x:v>3</x:v>
      </x:c>
      <x:c r="I26"/>
      <x:c r="J26" t="n">
        <x:v>42</x:v>
      </x:c>
      <x:c r="K26" t="n">
        <x:v>46</x:v>
      </x:c>
      <x:c r="L26" t="n">
        <x:v>47</x:v>
      </x:c>
      <x:c r="M26" t="n">
        <x:v>47</x:v>
      </x:c>
      <x:c r="N26" t="n">
        <x:v>52</x:v>
      </x:c>
      <x:c r="O26" t="n">
        <x:v>49</x:v>
      </x:c>
      <x:c r="P26" t="n">
        <x:v>38</x:v>
      </x:c>
      <x:c r="Q26" t="n">
        <x:v>3</x:v>
      </x:c>
      <x:c r="R26" t="n">
        <x:v>38</x:v>
      </x:c>
    </x:row>
    <x:row r="27">
      <x:c r="A27" t="str">
        <x:v>Jaylen Brown</x:v>
      </x:c>
      <x:c r="B27" t="n">
        <x:v>3</x:v>
      </x:c>
      <x:c r="C27" t="n">
        <x:v>3</x:v>
      </x:c>
      <x:c r="D27" t="n">
        <x:v>2</x:v>
      </x:c>
      <x:c r="E27" t="n">
        <x:v>2</x:v>
      </x:c>
      <x:c r="F27" t="n">
        <x:v>3</x:v>
      </x:c>
      <x:c r="G27" t="n">
        <x:v>3</x:v>
      </x:c>
      <x:c r="H27" t="n">
        <x:v>3</x:v>
      </x:c>
      <x:c r="I27"/>
      <x:c r="J27" t="n">
        <x:v>38</x:v>
      </x:c>
      <x:c r="K27" t="n">
        <x:v>36</x:v>
      </x:c>
      <x:c r="L27" t="n">
        <x:v>28</x:v>
      </x:c>
      <x:c r="M27" t="n">
        <x:v>28</x:v>
      </x:c>
      <x:c r="N27" t="n">
        <x:v>34</x:v>
      </x:c>
      <x:c r="O27" t="n">
        <x:v>29</x:v>
      </x:c>
      <x:c r="P27" t="n">
        <x:v>36</x:v>
      </x:c>
      <x:c r="Q27" t="n">
        <x:v>3</x:v>
      </x:c>
      <x:c r="R27" t="n">
        <x:v>44</x:v>
      </x:c>
    </x:row>
    <x:row r="28">
      <x:c r="A28" t="str">
        <x:v>Deni Avdija</x:v>
      </x:c>
      <x:c r="B28" t="n">
        <x:v>4</x:v>
      </x:c>
      <x:c r="C28" t="n">
        <x:v>4</x:v>
      </x:c>
      <x:c r="D28" t="n">
        <x:v>4</x:v>
      </x:c>
      <x:c r="E28" t="n">
        <x:v>4</x:v>
      </x:c>
      <x:c r="F28" t="n">
        <x:v>4</x:v>
      </x:c>
      <x:c r="G28" t="n">
        <x:v>3</x:v>
      </x:c>
      <x:c r="H28" t="n">
        <x:v>3</x:v>
      </x:c>
      <x:c r="I28"/>
      <x:c r="J28" t="n">
        <x:v>47</x:v>
      </x:c>
      <x:c r="K28" t="n">
        <x:v>47</x:v>
      </x:c>
      <x:c r="L28" t="n">
        <x:v>44</x:v>
      </x:c>
      <x:c r="M28" t="n">
        <x:v>44</x:v>
      </x:c>
      <x:c r="N28" t="n">
        <x:v>46</x:v>
      </x:c>
      <x:c r="O28" t="n">
        <x:v>36</x:v>
      </x:c>
      <x:c r="P28" t="n">
        <x:v>29</x:v>
      </x:c>
      <x:c r="Q28" t="n">
        <x:v>2</x:v>
      </x:c>
      <x:c r="R28" t="n">
        <x:v>26</x:v>
      </x:c>
    </x:row>
    <x:row r="29">
      <x:c r="A29" t="str">
        <x:v>Dejounte Murray</x:v>
      </x:c>
      <x:c r="B29" t="n">
        <x:v>4</x:v>
      </x:c>
      <x:c r="C29" t="n">
        <x:v>5</x:v>
      </x:c>
      <x:c r="D29" t="n">
        <x:v>5</x:v>
      </x:c>
      <x:c r="E29" t="n">
        <x:v>5</x:v>
      </x:c>
      <x:c r="F29" t="n">
        <x:v>4</x:v>
      </x:c>
      <x:c r="G29" t="n">
        <x:v>5</x:v>
      </x:c>
      <x:c r="H29" t="n">
        <x:v>5</x:v>
      </x:c>
      <x:c r="I29"/>
      <x:c r="J29" t="n">
        <x:v>43</x:v>
      </x:c>
      <x:c r="K29" t="n">
        <x:v>67</x:v>
      </x:c>
      <x:c r="L29" t="n">
        <x:v>67</x:v>
      </x:c>
      <x:c r="M29" t="n">
        <x:v>67</x:v>
      </x:c>
      <x:c r="N29" t="n">
        <x:v>55</x:v>
      </x:c>
      <x:c r="O29" t="n">
        <x:v>67</x:v>
      </x:c>
      <x:c r="P29" t="n">
        <x:v>58</x:v>
      </x:c>
      <x:c r="Q29" t="n">
        <x:v>4</x:v>
      </x:c>
      <x:c r="R29" t="n">
        <x:v>62</x:v>
      </x:c>
    </x:row>
    <x:row r="30">
      <x:c r="A30" t="str">
        <x:v>Dyson Daniels</x:v>
      </x:c>
      <x:c r="B30" t="n">
        <x:v>5</x:v>
      </x:c>
      <x:c r="C30" t="n">
        <x:v>3</x:v>
      </x:c>
      <x:c r="D30" t="n">
        <x:v>4</x:v>
      </x:c>
      <x:c r="E30" t="n">
        <x:v>4</x:v>
      </x:c>
      <x:c r="F30" t="n">
        <x:v>3</x:v>
      </x:c>
      <x:c r="G30" t="n">
        <x:v>5</x:v>
      </x:c>
      <x:c r="H30" t="n">
        <x:v>5</x:v>
      </x:c>
      <x:c r="I30"/>
      <x:c r="J30" t="n">
        <x:v>64</x:v>
      </x:c>
      <x:c r="K30" t="n">
        <x:v>41</x:v>
      </x:c>
      <x:c r="L30" t="n">
        <x:v>54</x:v>
      </x:c>
      <x:c r="M30" t="n">
        <x:v>54</x:v>
      </x:c>
      <x:c r="N30" t="n">
        <x:v>42</x:v>
      </x:c>
      <x:c r="O30" t="n">
        <x:v>69</x:v>
      </x:c>
      <x:c r="P30" t="n">
        <x:v>69</x:v>
      </x:c>
      <x:c r="Q30" t="n">
        <x:v>3</x:v>
      </x:c>
      <x:c r="R30" t="n">
        <x:v>34</x:v>
      </x:c>
    </x:row>
    <x:row r="31">
      <x:c r="A31" t="str">
        <x:v>Zach Edey</x:v>
      </x:c>
      <x:c r="B31" t="n">
        <x:v>6</x:v>
      </x:c>
      <x:c r="C31" t="n">
        <x:v>6</x:v>
      </x:c>
      <x:c r="D31" t="n">
        <x:v>5</x:v>
      </x:c>
      <x:c r="E31" t="n">
        <x:v>5</x:v>
      </x:c>
      <x:c r="F31" t="n">
        <x:v>6</x:v>
      </x:c>
      <x:c r="G31" t="n">
        <x:v>6</x:v>
      </x:c>
      <x:c r="H31" t="n">
        <x:v>5</x:v>
      </x:c>
      <x:c r="I31"/>
      <x:c r="J31" t="n">
        <x:v>79</x:v>
      </x:c>
      <x:c r="K31" t="n">
        <x:v>80</x:v>
      </x:c>
      <x:c r="L31" t="n">
        <x:v>70</x:v>
      </x:c>
      <x:c r="M31" t="n">
        <x:v>70</x:v>
      </x:c>
      <x:c r="N31" t="n">
        <x:v>76</x:v>
      </x:c>
      <x:c r="O31" t="n">
        <x:v>73</x:v>
      </x:c>
      <x:c r="P31" t="n">
        <x:v>61</x:v>
      </x:c>
      <x:c r="Q31" t="n">
        <x:v>4</x:v>
      </x:c>
      <x:c r="R31" t="n">
        <x:v>63</x:v>
      </x:c>
    </x:row>
    <x:row r="32">
      <x:c r="A32" t="str">
        <x:v>Matas Buzelis</x:v>
      </x:c>
      <x:c r="B32" t="n">
        <x:v>5</x:v>
      </x:c>
      <x:c r="C32" t="n">
        <x:v>6</x:v>
      </x:c>
      <x:c r="D32" t="n">
        <x:v>6</x:v>
      </x:c>
      <x:c r="E32" t="n">
        <x:v>6</x:v>
      </x:c>
      <x:c r="F32" t="n">
        <x:v>5</x:v>
      </x:c>
      <x:c r="G32" t="n">
        <x:v>4</x:v>
      </x:c>
      <x:c r="H32" t="n">
        <x:v>4</x:v>
      </x:c>
      <x:c r="I32"/>
      <x:c r="J32" t="n">
        <x:v>59</x:v>
      </x:c>
      <x:c r="K32" t="n">
        <x:v>75</x:v>
      </x:c>
      <x:c r="L32" t="n">
        <x:v>81</x:v>
      </x:c>
      <x:c r="M32" t="n">
        <x:v>81</x:v>
      </x:c>
      <x:c r="N32" t="n">
        <x:v>67</x:v>
      </x:c>
      <x:c r="O32" t="n">
        <x:v>44</x:v>
      </x:c>
      <x:c r="P32" t="n">
        <x:v>56</x:v>
      </x:c>
      <x:c r="Q32" t="n">
        <x:v>4</x:v>
      </x:c>
      <x:c r="R32" t="n">
        <x:v>51</x:v>
      </x:c>
    </x:row>
    <x:row r="33">
      <x:c r="A33" t="str">
        <x:v>Stephon Castle</x:v>
      </x:c>
      <x:c r="B33" t="n">
        <x:v>7</x:v>
      </x:c>
      <x:c r="C33" t="n">
        <x:v>5</x:v>
      </x:c>
      <x:c r="D33" t="n">
        <x:v>5</x:v>
      </x:c>
      <x:c r="E33" t="n">
        <x:v>5</x:v>
      </x:c>
      <x:c r="F33" t="n">
        <x:v>5</x:v>
      </x:c>
      <x:c r="G33" t="n">
        <x:v>5</x:v>
      </x:c>
      <x:c r="H33" t="n">
        <x:v>5</x:v>
      </x:c>
      <x:c r="I33"/>
      <x:c r="J33" t="n">
        <x:v>94</x:v>
      </x:c>
      <x:c r="K33" t="n">
        <x:v>64</x:v>
      </x:c>
      <x:c r="L33" t="n">
        <x:v>58</x:v>
      </x:c>
      <x:c r="M33" t="n">
        <x:v>58</x:v>
      </x:c>
      <x:c r="N33" t="n">
        <x:v>66</x:v>
      </x:c>
      <x:c r="O33" t="n">
        <x:v>63</x:v>
      </x:c>
      <x:c r="P33" t="n">
        <x:v>66</x:v>
      </x:c>
      <x:c r="Q33" t="n">
        <x:v>5</x:v>
      </x:c>
      <x:c r="R33" t="n">
        <x:v>66</x:v>
      </x:c>
    </x:row>
    <x:row r="34">
      <x:c r="A34" t="str">
        <x:v>Julius Randle</x:v>
      </x:c>
      <x:c r="B34" t="n">
        <x:v>5</x:v>
      </x:c>
      <x:c r="C34" t="n">
        <x:v>5</x:v>
      </x:c>
      <x:c r="D34" t="n">
        <x:v>5</x:v>
      </x:c>
      <x:c r="E34" t="n">
        <x:v>5</x:v>
      </x:c>
      <x:c r="F34" t="n">
        <x:v>4</x:v>
      </x:c>
      <x:c r="G34" t="n">
        <x:v>5</x:v>
      </x:c>
      <x:c r="H34" t="n">
        <x:v>6</x:v>
      </x:c>
      <x:c r="I34"/>
      <x:c r="J34" t="n">
        <x:v>63</x:v>
      </x:c>
      <x:c r="K34" t="n">
        <x:v>66</x:v>
      </x:c>
      <x:c r="L34" t="n">
        <x:v>60</x:v>
      </x:c>
      <x:c r="M34" t="n">
        <x:v>60</x:v>
      </x:c>
      <x:c r="N34" t="n">
        <x:v>45</x:v>
      </x:c>
      <x:c r="O34" t="n">
        <x:v>60</x:v>
      </x:c>
      <x:c r="P34" t="n">
        <x:v>75</x:v>
      </x:c>
      <x:c r="Q34" t="n">
        <x:v>5</x:v>
      </x:c>
      <x:c r="R34" t="n">
        <x:v>80</x:v>
      </x:c>
    </x:row>
    <x:row r="35">
      <x:c r="A35" t="str">
        <x:v>Rudy Gobert</x:v>
      </x:c>
      <x:c r="B35" t="n">
        <x:v>6</x:v>
      </x:c>
      <x:c r="C35" t="n">
        <x:v>7</x:v>
      </x:c>
      <x:c r="D35" t="n">
        <x:v>5</x:v>
      </x:c>
      <x:c r="E35" t="n">
        <x:v>5</x:v>
      </x:c>
      <x:c r="F35" t="n">
        <x:v>5</x:v>
      </x:c>
      <x:c r="G35" t="n">
        <x:v>6</x:v>
      </x:c>
      <x:c r="H35" t="n">
        <x:v>6</x:v>
      </x:c>
      <x:c r="I35"/>
      <x:c r="J35" t="n">
        <x:v>78</x:v>
      </x:c>
      <x:c r="K35" t="n">
        <x:v>85</x:v>
      </x:c>
      <x:c r="L35" t="n">
        <x:v>59</x:v>
      </x:c>
      <x:c r="M35" t="n">
        <x:v>59</x:v>
      </x:c>
      <x:c r="N35" t="n">
        <x:v>70</x:v>
      </x:c>
      <x:c r="O35" t="n">
        <x:v>77</x:v>
      </x:c>
      <x:c r="P35" t="n">
        <x:v>78</x:v>
      </x:c>
      <x:c r="Q35" t="n">
        <x:v>5</x:v>
      </x:c>
      <x:c r="R35" t="n">
        <x:v>74</x:v>
      </x:c>
    </x:row>
    <x:row r="36">
      <x:c r="A36" t="str">
        <x:v>CJ McCollum</x:v>
      </x:c>
      <x:c r="B36" t="n">
        <x:v>9</x:v>
      </x:c>
      <x:c r="C36" t="n">
        <x:v>9</x:v>
      </x:c>
      <x:c r="D36" t="n">
        <x:v>8</x:v>
      </x:c>
      <x:c r="E36" t="n">
        <x:v>8</x:v>
      </x:c>
      <x:c r="F36" t="n">
        <x:v>10</x:v>
      </x:c>
      <x:c r="G36" t="n">
        <x:v>8</x:v>
      </x:c>
      <x:c r="H36" t="n">
        <x:v>9</x:v>
      </x:c>
      <x:c r="I36"/>
      <x:c r="J36" t="n">
        <x:v>119</x:v>
      </x:c>
      <x:c r="K36" t="n">
        <x:v>126</x:v>
      </x:c>
      <x:c r="L36" t="n">
        <x:v>109</x:v>
      </x:c>
      <x:c r="M36" t="n">
        <x:v>109</x:v>
      </x:c>
      <x:c r="N36" t="n">
        <x:v>135</x:v>
      </x:c>
      <x:c r="O36" t="n">
        <x:v>109</x:v>
      </x:c>
      <x:c r="P36" t="n">
        <x:v>120</x:v>
      </x:c>
      <x:c r="Q36" t="n">
        <x:v>7</x:v>
      </x:c>
      <x:c r="R36" t="n">
        <x:v>108</x:v>
      </x:c>
    </x:row>
    <x:row r="37">
      <x:c r="A37" t="str">
        <x:v>Nic Claxton</x:v>
      </x:c>
      <x:c r="B37" t="n">
        <x:v>7</x:v>
      </x:c>
      <x:c r="C37" t="n">
        <x:v>7</x:v>
      </x:c>
      <x:c r="D37" t="n">
        <x:v>7</x:v>
      </x:c>
      <x:c r="E37" t="n">
        <x:v>7</x:v>
      </x:c>
      <x:c r="F37" t="n">
        <x:v>8</x:v>
      </x:c>
      <x:c r="G37" t="n">
        <x:v>7</x:v>
      </x:c>
      <x:c r="H37" t="n">
        <x:v>7</x:v>
      </x:c>
      <x:c r="I37"/>
      <x:c r="J37" t="n">
        <x:v>93</x:v>
      </x:c>
      <x:c r="K37" t="n">
        <x:v>94</x:v>
      </x:c>
      <x:c r="L37" t="n">
        <x:v>87</x:v>
      </x:c>
      <x:c r="M37" t="n">
        <x:v>87</x:v>
      </x:c>
      <x:c r="N37" t="n">
        <x:v>106</x:v>
      </x:c>
      <x:c r="O37" t="n">
        <x:v>98</x:v>
      </x:c>
      <x:c r="P37" t="n">
        <x:v>94</x:v>
      </x:c>
      <x:c r="Q37" t="n">
        <x:v>5</x:v>
      </x:c>
      <x:c r="R37" t="n">
        <x:v>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48" hidden="0" customWidth="1"/>
  </x:cols>
  <x:sheetData>
    <x:row r="1">
      <x:c r="A1" s="126" t="str">
        <x:v>Mock File Metadata / Average Inclusion</x:v>
      </x:c>
      <x:c r="B1" s="126"/>
      <x:c r="C1" s="126"/>
      <x:c r="D1" s="126"/>
      <x:c r="E1" s="126"/>
      <x:c r="F1" s="126"/>
      <x:c r="G1" s="126"/>
      <x:c r="H1" s="126"/>
      <x:c r="I1" s="126"/>
    </x:row>
    <x:row r="3">
      <x:c r="A3" s="18" t="str">
        <x:v>Mock</x:v>
      </x:c>
      <x:c r="B3" s="18" t="str">
        <x:v>Filename</x:v>
      </x:c>
      <x:c r="C3" s="18" t="str">
        <x:v>Teams</x:v>
      </x:c>
      <x:c r="D3" s="18" t="str">
        <x:v>Rounds</x:v>
      </x:c>
      <x:c r="E3" s="18" t="str">
        <x:v>User Slot</x:v>
      </x:c>
      <x:c r="F3" s="18" t="str">
        <x:v>Pick Count</x:v>
      </x:c>
      <x:c r="G3" s="18" t="str">
        <x:v>Complete</x:v>
      </x:c>
      <x:c r="H3" s="18" t="str">
        <x:v>Included in Averages</x:v>
      </x:c>
      <x:c r="I3" s="18" t="str">
        <x:v>Notes</x:v>
      </x:c>
    </x:row>
    <x:row r="4">
      <x:c r="A4" t="str">
        <x:v>2026-09-09</x:v>
      </x:c>
      <x:c r="B4" t="str">
        <x:v>yahoo-companion-draft-2026-09-09.json</x:v>
      </x:c>
      <x:c r="C4" t="n">
        <x:v>14</x:v>
      </x:c>
      <x:c r="D4" t="n">
        <x:v>13</x:v>
      </x:c>
      <x:c r="E4" t="n">
        <x:v>10</x:v>
      </x:c>
      <x:c r="F4" t="n">
        <x:v>177</x:v>
      </x:c>
      <x:c r="G4" t="str">
        <x:v>No</x:v>
      </x:c>
      <x:c r="H4" t="str">
        <x:v>Yes</x:v>
      </x:c>
      <x:c r="I4" s="128" t="str">
        <x:v>14×13; incomplete at pick 177</x:v>
      </x:c>
    </x:row>
    <x:row r="5">
      <x:c r="A5" t="str">
        <x:v>2026-09-13 A</x:v>
      </x:c>
      <x:c r="B5" t="str">
        <x:v>yahoo-companion-draft-2026-09-13.json</x:v>
      </x:c>
      <x:c r="C5" t="n">
        <x:v>14</x:v>
      </x:c>
      <x:c r="D5" t="n">
        <x:v>13</x:v>
      </x:c>
      <x:c r="E5" t="n">
        <x:v>10</x:v>
      </x:c>
      <x:c r="F5" t="n">
        <x:v>182</x:v>
      </x:c>
      <x:c r="G5" t="str">
        <x:v>Yes</x:v>
      </x:c>
      <x:c r="H5" t="str">
        <x:v>Yes</x:v>
      </x:c>
      <x:c r="I5" s="128" t="str">
        <x:v>14×13; complete</x:v>
      </x:c>
    </x:row>
    <x:row r="6">
      <x:c r="A6" t="str">
        <x:v>2026-09-13 B</x:v>
      </x:c>
      <x:c r="B6" t="str">
        <x:v>yahoo-companion-draft-2026-09-13 (1).json</x:v>
      </x:c>
      <x:c r="C6" t="n">
        <x:v>14</x:v>
      </x:c>
      <x:c r="D6" t="n">
        <x:v>13</x:v>
      </x:c>
      <x:c r="E6" t="n">
        <x:v>10</x:v>
      </x:c>
      <x:c r="F6" t="n">
        <x:v>182</x:v>
      </x:c>
      <x:c r="G6" t="str">
        <x:v>Yes</x:v>
      </x:c>
      <x:c r="H6" t="str">
        <x:v>Yes</x:v>
      </x:c>
      <x:c r="I6" s="128" t="str">
        <x:v>14×13; complete</x:v>
      </x:c>
    </x:row>
    <x:row r="7">
      <x:c r="A7" t="str">
        <x:v>2026-09-14 A</x:v>
      </x:c>
      <x:c r="B7" t="str">
        <x:v>yahoo-companion-draft-2026-09-14.json</x:v>
      </x:c>
      <x:c r="C7" t="n">
        <x:v>14</x:v>
      </x:c>
      <x:c r="D7" t="n">
        <x:v>13</x:v>
      </x:c>
      <x:c r="E7" t="n">
        <x:v>10</x:v>
      </x:c>
      <x:c r="F7" t="n">
        <x:v>182</x:v>
      </x:c>
      <x:c r="G7" t="str">
        <x:v>Yes</x:v>
      </x:c>
      <x:c r="H7" t="str">
        <x:v>Yes</x:v>
      </x:c>
      <x:c r="I7" s="128" t="str">
        <x:v>14×13; complete</x:v>
      </x:c>
    </x:row>
    <x:row r="8">
      <x:c r="A8" t="str">
        <x:v>2026-09-14 B</x:v>
      </x:c>
      <x:c r="B8" t="str">
        <x:v>yahoo-companion-draft-2026-09-14 (1).json</x:v>
      </x:c>
      <x:c r="C8" t="n">
        <x:v>14</x:v>
      </x:c>
      <x:c r="D8" t="n">
        <x:v>13</x:v>
      </x:c>
      <x:c r="E8" t="n">
        <x:v>10</x:v>
      </x:c>
      <x:c r="F8" t="n">
        <x:v>182</x:v>
      </x:c>
      <x:c r="G8" t="str">
        <x:v>Yes</x:v>
      </x:c>
      <x:c r="H8" t="str">
        <x:v>Yes</x:v>
      </x:c>
      <x:c r="I8" s="128" t="str">
        <x:v>14×13; complete</x:v>
      </x:c>
    </x:row>
    <x:row r="9">
      <x:c r="A9" t="str">
        <x:v>2026-09-15</x:v>
      </x:c>
      <x:c r="B9" t="str">
        <x:v>yahoo-companion-draft-2026-09-15-202600.json</x:v>
      </x:c>
      <x:c r="C9" t="n">
        <x:v>14</x:v>
      </x:c>
      <x:c r="D9" t="n">
        <x:v>13</x:v>
      </x:c>
      <x:c r="E9" t="n">
        <x:v>8</x:v>
      </x:c>
      <x:c r="F9" t="n">
        <x:v>182</x:v>
      </x:c>
      <x:c r="G9" t="str">
        <x:v>Yes</x:v>
      </x:c>
      <x:c r="H9" t="str">
        <x:v>Yes</x:v>
      </x:c>
      <x:c r="I9" s="128" t="str">
        <x:v>14×13; complete; slot 8</x:v>
      </x:c>
    </x:row>
    <x:row r="10">
      <x:c r="A10" t="str">
        <x:v>2026-09-30</x:v>
      </x:c>
      <x:c r="B10" t="str">
        <x:v>yahoo-companion-draft-2026-09-30-125232.json</x:v>
      </x:c>
      <x:c r="C10" t="n">
        <x:v>14</x:v>
      </x:c>
      <x:c r="D10" t="n">
        <x:v>13</x:v>
      </x:c>
      <x:c r="E10" t="n">
        <x:v>10</x:v>
      </x:c>
      <x:c r="F10" t="n">
        <x:v>182</x:v>
      </x:c>
      <x:c r="G10" t="str">
        <x:v>Yes</x:v>
      </x:c>
      <x:c r="H10" t="str">
        <x:v>Yes</x:v>
      </x:c>
      <x:c r="I10" s="128" t="str">
        <x:v>14×13; complete</x:v>
      </x:c>
    </x:row>
    <x:row r="11">
      <x:c r="A11" t="str">
        <x:v>2026-10-04 Diagnostic</x:v>
      </x:c>
      <x:c r="B11" t="str">
        <x:v>yahoo-companion-draft-2026-10-04-225518.json</x:v>
      </x:c>
      <x:c r="C11" t="n">
        <x:v>16</x:v>
      </x:c>
      <x:c r="D11" t="n">
        <x:v>15</x:v>
      </x:c>
      <x:c r="E11" t="n">
        <x:v>10</x:v>
      </x:c>
      <x:c r="F11" t="n">
        <x:v>240</x:v>
      </x:c>
      <x:c r="G11" t="str">
        <x:v>Yes</x:v>
      </x:c>
      <x:c r="H11" t="str">
        <x:v>No</x:v>
      </x:c>
      <x:c r="I11" s="128" t="str">
        <x:v>16×15 diagnostic/synthetic simulation; excluded from averages</x:v>
      </x:c>
    </x:row>
    <x:row r="12">
      <x:c r="I12" s="128"/>
    </x:row>
    <x:row r="13">
      <x:c r="I13" s="128"/>
    </x:row>
    <x:row r="14">
      <x:c r="I14" s="128"/>
    </x:row>
    <x:row r="15">
      <x:c r="I15" s="128"/>
    </x:row>
    <x:row r="16">
      <x:c r="I16" s="128"/>
    </x:row>
    <x:row r="17">
      <x:c r="I17" s="128"/>
    </x:row>
    <x:row r="18">
      <x:c r="I18" s="128"/>
    </x:row>
    <x:row r="19">
      <x:c r="I19" s="128"/>
    </x:row>
    <x:row r="20">
      <x:c r="I20" s="128"/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5" hidden="0" customWidth="1"/>
    <x:col min="3" max="3" width="10" hidden="0" customWidth="1"/>
    <x:col min="4" max="4" width="12" hidden="0" customWidth="1"/>
    <x:col min="5" max="5" width="42" hidden="0" customWidth="1"/>
  </x:cols>
  <x:sheetData>
    <x:row r="1">
      <x:c r="A1" s="126" t="str">
        <x:v>Canonical Names — Ready for Batch Projection Lookup</x:v>
      </x:c>
      <x:c r="B1" s="126"/>
      <x:c r="C1" s="126"/>
      <x:c r="D1" s="126"/>
      <x:c r="E1" s="126"/>
    </x:row>
    <x:row r="3">
      <x:c r="A3" s="17" t="str">
        <x:v>Category</x:v>
      </x:c>
      <x:c r="B3" s="17" t="str">
        <x:v>Player</x:v>
      </x:c>
      <x:c r="C3" s="17" t="str">
        <x:v>Team</x:v>
      </x:c>
      <x:c r="D3" s="17" t="str">
        <x:v>Position</x:v>
      </x:c>
      <x:c r="E3" s="17" t="str">
        <x:v>Resolution Note</x:v>
      </x:c>
    </x:row>
    <x:row r="4">
      <x:c r="A4" t="str">
        <x:v>Main list</x:v>
      </x:c>
      <x:c r="B4" t="str">
        <x:v>Keegan Murray</x:v>
      </x:c>
      <x:c r="C4" t="str">
        <x:v>SAC</x:v>
      </x:c>
      <x:c r="D4" t="str">
        <x:v>F</x:v>
      </x:c>
      <x:c r="E4" s="128" t="str"/>
    </x:row>
    <x:row r="5">
      <x:c r="A5" t="str">
        <x:v>Main list</x:v>
      </x:c>
      <x:c r="B5" t="str">
        <x:v>Isaiah Collier</x:v>
      </x:c>
      <x:c r="C5" t="str">
        <x:v>UTA</x:v>
      </x:c>
      <x:c r="D5" t="str">
        <x:v>G</x:v>
      </x:c>
      <x:c r="E5" s="128" t="str"/>
    </x:row>
    <x:row r="6">
      <x:c r="A6" t="str">
        <x:v>Main list</x:v>
      </x:c>
      <x:c r="B6" t="str">
        <x:v>Ace Bailey</x:v>
      </x:c>
      <x:c r="C6" t="str">
        <x:v>UTA</x:v>
      </x:c>
      <x:c r="D6" t="str">
        <x:v>F</x:v>
      </x:c>
      <x:c r="E6" s="128" t="str"/>
    </x:row>
    <x:row r="7">
      <x:c r="A7" t="str">
        <x:v>Main list</x:v>
      </x:c>
      <x:c r="B7" t="str">
        <x:v>Collin Murray-Boyles</x:v>
      </x:c>
      <x:c r="C7" t="str">
        <x:v>TOR</x:v>
      </x:c>
      <x:c r="D7" t="str">
        <x:v>F</x:v>
      </x:c>
      <x:c r="E7" s="128" t="str"/>
    </x:row>
    <x:row r="8">
      <x:c r="A8" t="str">
        <x:v>Main list</x:v>
      </x:c>
      <x:c r="B8" t="str">
        <x:v>Jeremiah Fears</x:v>
      </x:c>
      <x:c r="C8" t="str">
        <x:v>NOP</x:v>
      </x:c>
      <x:c r="D8" t="str">
        <x:v>G</x:v>
      </x:c>
      <x:c r="E8" s="128" t="str"/>
    </x:row>
    <x:row r="9">
      <x:c r="A9" t="str">
        <x:v>Main list</x:v>
      </x:c>
      <x:c r="B9" t="str">
        <x:v>Yves Missi</x:v>
      </x:c>
      <x:c r="C9" t="str">
        <x:v>NOP</x:v>
      </x:c>
      <x:c r="D9" t="str">
        <x:v>C</x:v>
      </x:c>
      <x:c r="E9" s="128" t="str"/>
    </x:row>
    <x:row r="10">
      <x:c r="A10" t="str">
        <x:v>Main list</x:v>
      </x:c>
      <x:c r="B10" t="str">
        <x:v>Brandin Podziemski</x:v>
      </x:c>
      <x:c r="C10" t="str">
        <x:v>GSW</x:v>
      </x:c>
      <x:c r="D10" t="str">
        <x:v>G</x:v>
      </x:c>
      <x:c r="E10" s="128" t="str"/>
    </x:row>
    <x:row r="11">
      <x:c r="A11" t="str">
        <x:v>Main list</x:v>
      </x:c>
      <x:c r="B11" t="str">
        <x:v>Jalen Green</x:v>
      </x:c>
      <x:c r="C11" t="str">
        <x:v>PHX</x:v>
      </x:c>
      <x:c r="D11" t="str">
        <x:v>G</x:v>
      </x:c>
      <x:c r="E11" s="128" t="str"/>
    </x:row>
    <x:row r="12">
      <x:c r="A12" t="str">
        <x:v>Main list</x:v>
      </x:c>
      <x:c r="B12" t="str">
        <x:v>Ajay Mitchell</x:v>
      </x:c>
      <x:c r="C12" t="str">
        <x:v>OKC</x:v>
      </x:c>
      <x:c r="D12" t="str">
        <x:v>G</x:v>
      </x:c>
      <x:c r="E12" s="128" t="str"/>
    </x:row>
    <x:row r="13">
      <x:c r="A13" t="str">
        <x:v>Main list</x:v>
      </x:c>
      <x:c r="B13" t="str">
        <x:v>Egor Dëmin</x:v>
      </x:c>
      <x:c r="C13" t="str">
        <x:v>BKN</x:v>
      </x:c>
      <x:c r="D13" t="str">
        <x:v>G</x:v>
      </x:c>
      <x:c r="E13" s="128" t="str">
        <x:v>Interpreted from 'dourman ... BKN Nets'.</x:v>
      </x:c>
    </x:row>
    <x:row r="14">
      <x:c r="A14" t="str">
        <x:v>Main list</x:v>
      </x:c>
      <x:c r="B14" t="str">
        <x:v>Khaman Maluach</x:v>
      </x:c>
      <x:c r="C14" t="str">
        <x:v>PHX</x:v>
      </x:c>
      <x:c r="D14" t="str">
        <x:v>C</x:v>
      </x:c>
      <x:c r="E14" s="128" t="str"/>
    </x:row>
    <x:row r="15">
      <x:c r="A15" t="str">
        <x:v>Low confidence</x:v>
      </x:c>
      <x:c r="B15" t="str">
        <x:v>Baylor Scheierman</x:v>
      </x:c>
      <x:c r="C15" t="str">
        <x:v>BOS</x:v>
      </x:c>
      <x:c r="D15" t="str">
        <x:v>G</x:v>
      </x:c>
      <x:c r="E15" s="128" t="str"/>
    </x:row>
    <x:row r="16">
      <x:c r="A16" t="str">
        <x:v>Low confidence</x:v>
      </x:c>
      <x:c r="B16" t="str">
        <x:v>Grayson Allen</x:v>
      </x:c>
      <x:c r="C16" t="str">
        <x:v>CHA</x:v>
      </x:c>
      <x:c r="D16" t="str">
        <x:v>G</x:v>
      </x:c>
      <x:c r="E16" s="128" t="str"/>
    </x:row>
    <x:row r="17">
      <x:c r="A17" t="str">
        <x:v>Low confidence</x:v>
      </x:c>
      <x:c r="B17" t="str">
        <x:v>Moussa Diabaté</x:v>
      </x:c>
      <x:c r="C17" t="str">
        <x:v>CHA</x:v>
      </x:c>
      <x:c r="D17" t="str">
        <x:v>F</x:v>
      </x:c>
      <x:c r="E17" s="128" t="str"/>
    </x:row>
    <x:row r="18">
      <x:c r="A18" t="str">
        <x:v>Low confidence</x:v>
      </x:c>
      <x:c r="B18" t="str">
        <x:v>De'Anthony Melton</x:v>
      </x:c>
      <x:c r="C18" t="str">
        <x:v>GSW</x:v>
      </x:c>
      <x:c r="D18" t="str">
        <x:v>G</x:v>
      </x:c>
      <x:c r="E18" s="128" t="str"/>
    </x:row>
    <x:row r="19">
      <x:c r="A19" t="str">
        <x:v>Low confidence</x:v>
      </x:c>
      <x:c r="B19" t="str">
        <x:v>Max Strus</x:v>
      </x:c>
      <x:c r="C19" t="str">
        <x:v>LAC</x:v>
      </x:c>
      <x:c r="D19" t="str">
        <x:v>G-F</x:v>
      </x:c>
      <x:c r="E19" s="128" t="str"/>
    </x:row>
    <x:row r="20">
      <x:c r="A20" t="str">
        <x:v>Low confidence</x:v>
      </x:c>
      <x:c r="B20" t="str">
        <x:v>Quentin Grimes</x:v>
      </x:c>
      <x:c r="C20" t="str">
        <x:v>LAL</x:v>
      </x:c>
      <x:c r="D20" t="str">
        <x:v>G</x:v>
      </x:c>
      <x:c r="E20" s="128" t="str"/>
    </x:row>
    <x:row r="21">
      <x:c r="A21" t="str">
        <x:v>Low confidence</x:v>
      </x:c>
      <x:c r="B21" t="str">
        <x:v>Cedric Coward</x:v>
      </x:c>
      <x:c r="C21" t="str">
        <x:v>MEM</x:v>
      </x:c>
      <x:c r="D21" t="str">
        <x:v>G</x:v>
      </x:c>
      <x:c r="E21" s="128" t="str"/>
    </x:row>
    <x:row r="22">
      <x:c r="A22" t="str">
        <x:v>Low confidence</x:v>
      </x:c>
      <x:c r="B22" t="str">
        <x:v>Pelle Larsson</x:v>
      </x:c>
      <x:c r="C22" t="str">
        <x:v>MIA</x:v>
      </x:c>
      <x:c r="D22" t="str">
        <x:v>G</x:v>
      </x:c>
      <x:c r="E22" s="128" t="str"/>
    </x:row>
    <x:row r="23">
      <x:c r="A23" t="str">
        <x:v>Low confidence</x:v>
      </x:c>
      <x:c r="B23" t="str">
        <x:v>Myles Turner</x:v>
      </x:c>
      <x:c r="C23" t="str">
        <x:v>MIL</x:v>
      </x:c>
      <x:c r="D23" t="str">
        <x:v>C-F</x:v>
      </x:c>
      <x:c r="E23" s="128" t="str"/>
    </x:row>
    <x:row r="24">
      <x:c r="A24" t="str">
        <x:v>Low confidence</x:v>
      </x:c>
      <x:c r="B24" t="str">
        <x:v>Jalen Suggs</x:v>
      </x:c>
      <x:c r="C24" t="str">
        <x:v>ORL</x:v>
      </x:c>
      <x:c r="D24" t="str">
        <x:v>G</x:v>
      </x:c>
      <x:c r="E24" s="128" t="str"/>
    </x:row>
    <x:row r="25">
      <x:c r="A25" t="str">
        <x:v>Low confidence</x:v>
      </x:c>
      <x:c r="B25" t="str">
        <x:v>Collin Gillespie</x:v>
      </x:c>
      <x:c r="C25" t="str">
        <x:v>PHX</x:v>
      </x:c>
      <x:c r="D25" t="str">
        <x:v>G</x:v>
      </x:c>
      <x:c r="E25" s="128" t="str"/>
    </x:row>
    <x:row r="26">
      <x:c r="A26" t="str">
        <x:v>Sleepers</x:v>
      </x:c>
      <x:c r="B26" t="str">
        <x:v>Domantas Sabonis</x:v>
      </x:c>
      <x:c r="C26" t="str">
        <x:v>SAC</x:v>
      </x:c>
      <x:c r="D26" t="str">
        <x:v>F-C</x:v>
      </x:c>
      <x:c r="E26" s="128" t="str"/>
    </x:row>
    <x:row r="27">
      <x:c r="A27" t="str">
        <x:v>Sleepers</x:v>
      </x:c>
      <x:c r="B27" t="str">
        <x:v>Josh Giddey</x:v>
      </x:c>
      <x:c r="C27" t="str">
        <x:v>CHI</x:v>
      </x:c>
      <x:c r="D27" t="str">
        <x:v>G</x:v>
      </x:c>
      <x:c r="E27" s="128" t="str"/>
    </x:row>
    <x:row r="28">
      <x:c r="A28" t="str">
        <x:v>Sleepers</x:v>
      </x:c>
      <x:c r="B28" t="str">
        <x:v>Paolo Banchero</x:v>
      </x:c>
      <x:c r="C28" t="str">
        <x:v>ORL</x:v>
      </x:c>
      <x:c r="D28" t="str">
        <x:v>F</x:v>
      </x:c>
      <x:c r="E28" s="128" t="str"/>
    </x:row>
    <x:row r="29">
      <x:c r="A29" t="str">
        <x:v>Sleepers</x:v>
      </x:c>
      <x:c r="B29" t="str">
        <x:v>Jaylen Brown</x:v>
      </x:c>
      <x:c r="C29" t="str">
        <x:v>PHI</x:v>
      </x:c>
      <x:c r="D29" t="str">
        <x:v>G-F</x:v>
      </x:c>
      <x:c r="E29" s="128" t="str"/>
    </x:row>
    <x:row r="30">
      <x:c r="A30" t="str">
        <x:v>Sleepers</x:v>
      </x:c>
      <x:c r="B30" t="str">
        <x:v>Deni Avdija</x:v>
      </x:c>
      <x:c r="C30" t="str">
        <x:v>POR</x:v>
      </x:c>
      <x:c r="D30" t="str">
        <x:v>F</x:v>
      </x:c>
      <x:c r="E30" s="128" t="str"/>
    </x:row>
    <x:row r="31">
      <x:c r="A31" t="str">
        <x:v>Sleepers</x:v>
      </x:c>
      <x:c r="B31" t="str">
        <x:v>Dejounte Murray</x:v>
      </x:c>
      <x:c r="C31" t="str">
        <x:v>NOP</x:v>
      </x:c>
      <x:c r="D31" t="str">
        <x:v>G</x:v>
      </x:c>
      <x:c r="E31" s="128" t="str"/>
    </x:row>
    <x:row r="32">
      <x:c r="A32" t="str">
        <x:v>Sleepers</x:v>
      </x:c>
      <x:c r="B32" t="str">
        <x:v>Dyson Daniels</x:v>
      </x:c>
      <x:c r="C32" t="str">
        <x:v>ATL</x:v>
      </x:c>
      <x:c r="D32" t="str">
        <x:v>G</x:v>
      </x:c>
      <x:c r="E32" s="128" t="str"/>
    </x:row>
    <x:row r="33">
      <x:c r="A33" t="str">
        <x:v>Sleepers</x:v>
      </x:c>
      <x:c r="B33" t="str">
        <x:v>Zach Edey</x:v>
      </x:c>
      <x:c r="C33" t="str">
        <x:v>MEM</x:v>
      </x:c>
      <x:c r="D33" t="str">
        <x:v>C</x:v>
      </x:c>
      <x:c r="E33" s="128" t="str"/>
    </x:row>
    <x:row r="34">
      <x:c r="A34" t="str">
        <x:v>Sleepers</x:v>
      </x:c>
      <x:c r="B34" t="str">
        <x:v>Matas Buzelis</x:v>
      </x:c>
      <x:c r="C34" t="str">
        <x:v>CHI</x:v>
      </x:c>
      <x:c r="D34" t="str">
        <x:v>F</x:v>
      </x:c>
      <x:c r="E34" s="128" t="str"/>
    </x:row>
    <x:row r="35">
      <x:c r="A35" t="str">
        <x:v>Sleepers</x:v>
      </x:c>
      <x:c r="B35" t="str">
        <x:v>Stephon Castle</x:v>
      </x:c>
      <x:c r="C35" t="str">
        <x:v>SAS</x:v>
      </x:c>
      <x:c r="D35" t="str">
        <x:v>G</x:v>
      </x:c>
      <x:c r="E35" s="128" t="str"/>
    </x:row>
    <x:row r="36">
      <x:c r="A36" t="str">
        <x:v>Sleepers</x:v>
      </x:c>
      <x:c r="B36" t="str">
        <x:v>Julius Randle</x:v>
      </x:c>
      <x:c r="C36" t="str">
        <x:v>BKN</x:v>
      </x:c>
      <x:c r="D36" t="str">
        <x:v>F-C</x:v>
      </x:c>
      <x:c r="E36" s="128" t="str"/>
    </x:row>
    <x:row r="37">
      <x:c r="A37" t="str">
        <x:v>Sleepers</x:v>
      </x:c>
      <x:c r="B37" t="str">
        <x:v>Rudy Gobert</x:v>
      </x:c>
      <x:c r="C37" t="str">
        <x:v>MIN</x:v>
      </x:c>
      <x:c r="D37" t="str">
        <x:v>C</x:v>
      </x:c>
      <x:c r="E37" s="128" t="str"/>
    </x:row>
    <x:row r="38">
      <x:c r="A38" t="str">
        <x:v>Sleepers</x:v>
      </x:c>
      <x:c r="B38" t="str">
        <x:v>CJ McCollum</x:v>
      </x:c>
      <x:c r="C38" t="str">
        <x:v>ATL</x:v>
      </x:c>
      <x:c r="D38" t="str">
        <x:v>G</x:v>
      </x:c>
      <x:c r="E38" s="128" t="str"/>
    </x:row>
    <x:row r="39">
      <x:c r="A39" t="str">
        <x:v>Sleepers</x:v>
      </x:c>
      <x:c r="B39" t="str">
        <x:v>Nic Claxton</x:v>
      </x:c>
      <x:c r="C39" t="str">
        <x:v>CHI</x:v>
      </x:c>
      <x:c r="D39" t="str">
        <x:v>C</x:v>
      </x:c>
      <x:c r="E39" s="128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2b1c9aec562431f"/>
  </x:tableParts>
</x:worksheet>
</file>